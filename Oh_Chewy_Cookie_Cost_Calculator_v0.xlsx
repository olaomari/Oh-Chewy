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haluf-my.sharepoint.com/personal/o_badawi_ext_tahaluf_ae/Documents/Desktop/cookies/Oh-Chewy/"/>
    </mc:Choice>
  </mc:AlternateContent>
  <xr:revisionPtr revIDLastSave="0" documentId="8_{1955EF28-842D-4374-B3CA-20004B348C32}" xr6:coauthVersionLast="47" xr6:coauthVersionMax="47" xr10:uidLastSave="{00000000-0000-0000-0000-000000000000}"/>
  <bookViews>
    <workbookView xWindow="-108" yWindow="-108" windowWidth="23256" windowHeight="12456" activeTab="1" xr2:uid="{369E2E3C-B82F-4265-BA28-6E0057B049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2" l="1"/>
  <c r="H4" i="2"/>
  <c r="F17" i="2"/>
  <c r="G17" i="2" s="1"/>
  <c r="H17" i="2" s="1"/>
  <c r="F16" i="2"/>
  <c r="G16" i="2" s="1"/>
  <c r="H16" i="2" s="1"/>
  <c r="F15" i="2"/>
  <c r="G15" i="2" s="1"/>
  <c r="H15" i="2" s="1"/>
  <c r="F14" i="2"/>
  <c r="G14" i="2" s="1"/>
  <c r="H14" i="2" s="1"/>
  <c r="F13" i="2"/>
  <c r="G13" i="2" s="1"/>
  <c r="H13" i="2" s="1"/>
  <c r="F12" i="2"/>
  <c r="G12" i="2" s="1"/>
  <c r="H12" i="2" s="1"/>
  <c r="F11" i="2"/>
  <c r="G11" i="2" s="1"/>
  <c r="H11" i="2" s="1"/>
  <c r="F10" i="2"/>
  <c r="G10" i="2" s="1"/>
  <c r="H10" i="2" s="1"/>
  <c r="F9" i="2"/>
  <c r="G9" i="2" s="1"/>
  <c r="H9" i="2" s="1"/>
  <c r="F8" i="2"/>
  <c r="G8" i="2" s="1"/>
  <c r="H8" i="2" s="1"/>
  <c r="F7" i="2"/>
  <c r="G7" i="2" s="1"/>
  <c r="H7" i="2" s="1"/>
  <c r="F6" i="2"/>
  <c r="G6" i="2" s="1"/>
  <c r="F5" i="2"/>
  <c r="G5" i="2" s="1"/>
  <c r="H5" i="2" s="1"/>
  <c r="F4" i="2"/>
  <c r="G4" i="2" s="1"/>
  <c r="F3" i="2"/>
  <c r="G3" i="2" s="1"/>
  <c r="H3" i="2" s="1"/>
  <c r="D17" i="1"/>
  <c r="I14" i="2" l="1"/>
  <c r="I3" i="2"/>
  <c r="I8" i="2"/>
  <c r="I5" i="2"/>
  <c r="I11" i="2"/>
</calcChain>
</file>

<file path=xl/sharedStrings.xml><?xml version="1.0" encoding="utf-8"?>
<sst xmlns="http://schemas.openxmlformats.org/spreadsheetml/2006/main" count="74" uniqueCount="48">
  <si>
    <t>OH, CHEWY! – COOKIE DOUGH COST CALCULATOR</t>
  </si>
  <si>
    <t>Ingredient</t>
  </si>
  <si>
    <t>Butter</t>
  </si>
  <si>
    <t>Brown sugar</t>
  </si>
  <si>
    <t>Granulated sugar</t>
  </si>
  <si>
    <t>Flour</t>
  </si>
  <si>
    <t>Eggs</t>
  </si>
  <si>
    <t>Baking soda</t>
  </si>
  <si>
    <t>Baking powder</t>
  </si>
  <si>
    <t>Vanilla</t>
  </si>
  <si>
    <t>Salt</t>
  </si>
  <si>
    <t>Cocoa powder (if in base)</t>
  </si>
  <si>
    <t>Milk / cream (if used)</t>
  </si>
  <si>
    <t>Cornstarch (if used)</t>
  </si>
  <si>
    <t>Other base ingredient 2</t>
  </si>
  <si>
    <t>Unit</t>
  </si>
  <si>
    <t>g</t>
  </si>
  <si>
    <t>Quantity used / 10 cookie dough</t>
  </si>
  <si>
    <t>chocolate chips</t>
  </si>
  <si>
    <t>TOTAL BASE DOUGH COST / 10 cookies</t>
  </si>
  <si>
    <t>Cost/10 cookies JOD</t>
  </si>
  <si>
    <t>Flavor</t>
  </si>
  <si>
    <t>Addition</t>
  </si>
  <si>
    <t>Cost per gram</t>
  </si>
  <si>
    <t>Cost per cookie</t>
  </si>
  <si>
    <t>Flavor total</t>
  </si>
  <si>
    <t>Classic</t>
  </si>
  <si>
    <t>Chocolate chips</t>
  </si>
  <si>
    <t>Other topping</t>
  </si>
  <si>
    <t>Double Chocolate</t>
  </si>
  <si>
    <t>Cocoa powder</t>
  </si>
  <si>
    <t>Chocolate chunks</t>
  </si>
  <si>
    <t>Lotus Biscoff</t>
  </si>
  <si>
    <t>Lotus spread filling</t>
  </si>
  <si>
    <t>Lotus biscuit</t>
  </si>
  <si>
    <t>Chocolate / topping</t>
  </si>
  <si>
    <t>Pistachio</t>
  </si>
  <si>
    <t>Pistachio cream filling</t>
  </si>
  <si>
    <t>Pistachio pieces</t>
  </si>
  <si>
    <t>Red Velvet</t>
  </si>
  <si>
    <t>Red coloring</t>
  </si>
  <si>
    <t>White chocolate</t>
  </si>
  <si>
    <t>Cream cheese / filling</t>
  </si>
  <si>
    <t>FLAVOR ADDITIONS COST PER COOKIE</t>
  </si>
  <si>
    <t>Purchased package quantity</t>
  </si>
  <si>
    <t>Purchased package price (JOD)</t>
  </si>
  <si>
    <t>Quantity used per cookie (g)</t>
  </si>
  <si>
    <t>Quantity required per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</si>
</sst>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JOD&quot;"/>
  </numFmts>
  <fonts count="8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7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E2B1F"/>
      </patternFill>
    </fill>
    <fill>
      <patternFill patternType="solid">
        <fgColor rgb="FFFFF6EB"/>
      </patternFill>
    </fill>
    <fill>
      <patternFill patternType="solid">
        <fgColor rgb="FFFFF2CC"/>
      </patternFill>
    </fill>
    <fill>
      <patternFill patternType="solid">
        <fgColor rgb="FFF9C9A8"/>
      </patternFill>
    </fill>
    <fill>
      <patternFill patternType="solid">
        <fgColor rgb="FF8F78B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164" fontId="5" fillId="0" borderId="7" xfId="0" applyNumberFormat="1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4" fillId="4" borderId="0" xfId="0" applyFont="1" applyFill="1" applyBorder="1" applyAlignment="1">
      <alignment vertical="center" wrapText="1"/>
    </xf>
    <xf numFmtId="164" fontId="4" fillId="4" borderId="0" xfId="0" applyNumberFormat="1" applyFont="1" applyFill="1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747"/>
      <color rgb="FF7ED47E"/>
      <color rgb="FF9E6C34"/>
      <color rgb="FFC17C63"/>
      <color rgb="FFF1BD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1388-FA8D-45C4-8031-86E625C6E48D}">
  <dimension ref="A1:J17"/>
  <sheetViews>
    <sheetView topLeftCell="A4" workbookViewId="0">
      <selection activeCell="A22" sqref="A22"/>
    </sheetView>
  </sheetViews>
  <sheetFormatPr defaultRowHeight="14.4" x14ac:dyDescent="0.3"/>
  <cols>
    <col min="1" max="1" width="24.6640625" style="4" customWidth="1"/>
    <col min="2" max="3" width="19.109375" style="6" customWidth="1"/>
    <col min="4" max="8" width="19.109375" customWidth="1"/>
  </cols>
  <sheetData>
    <row r="1" spans="1:10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43.2" x14ac:dyDescent="0.3">
      <c r="A2" s="3" t="s">
        <v>1</v>
      </c>
      <c r="B2" s="5" t="s">
        <v>17</v>
      </c>
      <c r="C2" s="5" t="s">
        <v>15</v>
      </c>
      <c r="D2" s="5" t="s">
        <v>20</v>
      </c>
    </row>
    <row r="3" spans="1:10" ht="21" customHeight="1" x14ac:dyDescent="0.3">
      <c r="A3" s="7" t="s">
        <v>2</v>
      </c>
      <c r="B3" s="8">
        <v>115</v>
      </c>
      <c r="C3" s="8" t="s">
        <v>16</v>
      </c>
      <c r="D3" s="9">
        <v>0.44</v>
      </c>
    </row>
    <row r="4" spans="1:10" ht="21" customHeight="1" x14ac:dyDescent="0.3">
      <c r="A4" s="7" t="s">
        <v>3</v>
      </c>
      <c r="B4" s="8">
        <v>150</v>
      </c>
      <c r="C4" s="8" t="s">
        <v>16</v>
      </c>
      <c r="D4" s="9">
        <v>0.53</v>
      </c>
    </row>
    <row r="5" spans="1:10" ht="21" customHeight="1" x14ac:dyDescent="0.3">
      <c r="A5" s="7" t="s">
        <v>4</v>
      </c>
      <c r="B5" s="8">
        <v>100</v>
      </c>
      <c r="C5" s="8" t="s">
        <v>16</v>
      </c>
      <c r="D5" s="9">
        <v>0.1</v>
      </c>
    </row>
    <row r="6" spans="1:10" ht="21" customHeight="1" x14ac:dyDescent="0.3">
      <c r="A6" s="7" t="s">
        <v>5</v>
      </c>
      <c r="B6" s="8">
        <v>185</v>
      </c>
      <c r="C6" s="8" t="s">
        <v>16</v>
      </c>
      <c r="D6" s="9">
        <v>0.8</v>
      </c>
    </row>
    <row r="7" spans="1:10" ht="21" customHeight="1" x14ac:dyDescent="0.3">
      <c r="A7" s="7" t="s">
        <v>6</v>
      </c>
      <c r="B7" s="8">
        <v>60</v>
      </c>
      <c r="C7" s="8" t="s">
        <v>16</v>
      </c>
      <c r="D7" s="9">
        <v>0.1</v>
      </c>
    </row>
    <row r="8" spans="1:10" ht="21" customHeight="1" x14ac:dyDescent="0.3">
      <c r="A8" s="7" t="s">
        <v>7</v>
      </c>
      <c r="B8" s="8">
        <v>2.2999999999999998</v>
      </c>
      <c r="C8" s="8" t="s">
        <v>16</v>
      </c>
      <c r="D8" s="9">
        <v>0.1</v>
      </c>
    </row>
    <row r="9" spans="1:10" ht="21" customHeight="1" x14ac:dyDescent="0.3">
      <c r="A9" s="7" t="s">
        <v>8</v>
      </c>
      <c r="B9" s="8">
        <v>0</v>
      </c>
      <c r="C9" s="8" t="s">
        <v>16</v>
      </c>
      <c r="D9" s="9">
        <v>0</v>
      </c>
    </row>
    <row r="10" spans="1:10" ht="21" customHeight="1" x14ac:dyDescent="0.3">
      <c r="A10" s="7" t="s">
        <v>9</v>
      </c>
      <c r="B10" s="8">
        <v>3</v>
      </c>
      <c r="C10" s="8" t="s">
        <v>16</v>
      </c>
      <c r="D10" s="9">
        <v>0.1</v>
      </c>
    </row>
    <row r="11" spans="1:10" ht="21" customHeight="1" x14ac:dyDescent="0.3">
      <c r="A11" s="7" t="s">
        <v>10</v>
      </c>
      <c r="B11" s="8">
        <v>2</v>
      </c>
      <c r="C11" s="8" t="s">
        <v>16</v>
      </c>
      <c r="D11" s="9">
        <v>0</v>
      </c>
    </row>
    <row r="12" spans="1:10" ht="21" customHeight="1" x14ac:dyDescent="0.3">
      <c r="A12" s="7" t="s">
        <v>11</v>
      </c>
      <c r="B12" s="8">
        <v>50</v>
      </c>
      <c r="C12" s="8" t="s">
        <v>16</v>
      </c>
      <c r="D12" s="9">
        <v>0</v>
      </c>
    </row>
    <row r="13" spans="1:10" ht="21" customHeight="1" x14ac:dyDescent="0.3">
      <c r="A13" s="7" t="s">
        <v>12</v>
      </c>
      <c r="B13" s="8">
        <v>0</v>
      </c>
      <c r="C13" s="8" t="s">
        <v>16</v>
      </c>
      <c r="D13" s="9">
        <v>0</v>
      </c>
    </row>
    <row r="14" spans="1:10" ht="21" customHeight="1" x14ac:dyDescent="0.3">
      <c r="A14" s="7" t="s">
        <v>13</v>
      </c>
      <c r="B14" s="8">
        <v>0</v>
      </c>
      <c r="C14" s="8" t="s">
        <v>16</v>
      </c>
      <c r="D14" s="9">
        <v>0</v>
      </c>
    </row>
    <row r="15" spans="1:10" ht="21" customHeight="1" x14ac:dyDescent="0.3">
      <c r="A15" s="7" t="s">
        <v>18</v>
      </c>
      <c r="B15" s="8">
        <v>0</v>
      </c>
      <c r="C15" s="8" t="s">
        <v>16</v>
      </c>
      <c r="D15" s="9">
        <v>0.42</v>
      </c>
    </row>
    <row r="16" spans="1:10" ht="21" customHeight="1" x14ac:dyDescent="0.3">
      <c r="A16" s="7" t="s">
        <v>14</v>
      </c>
      <c r="B16" s="8">
        <v>0</v>
      </c>
      <c r="C16" s="8" t="s">
        <v>16</v>
      </c>
      <c r="D16" s="9">
        <v>0</v>
      </c>
    </row>
    <row r="17" spans="1:4" ht="43.2" customHeight="1" x14ac:dyDescent="0.3">
      <c r="A17" s="10" t="s">
        <v>19</v>
      </c>
      <c r="B17" s="10"/>
      <c r="C17" s="10"/>
      <c r="D17" s="11">
        <f>SUM(D3:D16)</f>
        <v>2.5900000000000003</v>
      </c>
    </row>
  </sheetData>
  <mergeCells count="2">
    <mergeCell ref="A1:J1"/>
    <mergeCell ref="A17:C17"/>
  </mergeCells>
  <pageMargins left="0.7" right="0.7" top="0.75" bottom="0.75" header="0.3" footer="0.3"/>
  <pageSetup orientation="portrait" r:id="rId1"/>
  <headerFooter>
    <oddFooter>&amp;C_x000D_&amp;1#&amp;"Aptos"&amp;10&amp;K000000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BFA6-6F67-49F0-8248-F43ECF19B6F2}">
  <dimension ref="A1:K17"/>
  <sheetViews>
    <sheetView tabSelected="1" workbookViewId="0">
      <selection activeCell="D2" sqref="D2"/>
    </sheetView>
  </sheetViews>
  <sheetFormatPr defaultRowHeight="14.4" x14ac:dyDescent="0.3"/>
  <cols>
    <col min="1" max="2" width="19.33203125" customWidth="1"/>
    <col min="3" max="3" width="26.5546875" customWidth="1"/>
    <col min="4" max="4" width="27.109375" customWidth="1"/>
    <col min="5" max="5" width="34.33203125" customWidth="1"/>
    <col min="6" max="7" width="19.33203125" customWidth="1"/>
    <col min="8" max="8" width="27.6640625" customWidth="1"/>
    <col min="9" max="11" width="19.33203125" customWidth="1"/>
  </cols>
  <sheetData>
    <row r="1" spans="1:11" ht="22.2" x14ac:dyDescent="0.3">
      <c r="A1" s="13" t="s">
        <v>43</v>
      </c>
      <c r="B1" s="2"/>
      <c r="C1" s="2"/>
      <c r="D1" s="2"/>
      <c r="E1" s="2"/>
      <c r="F1" s="2"/>
      <c r="G1" s="2"/>
      <c r="H1" s="2"/>
      <c r="I1" s="2"/>
      <c r="J1" s="13"/>
      <c r="K1" s="2"/>
    </row>
    <row r="2" spans="1:11" ht="28.8" x14ac:dyDescent="0.3">
      <c r="A2" s="12" t="s">
        <v>21</v>
      </c>
      <c r="B2" s="12" t="s">
        <v>22</v>
      </c>
      <c r="C2" s="12" t="s">
        <v>46</v>
      </c>
      <c r="D2" s="12" t="s">
        <v>44</v>
      </c>
      <c r="E2" s="12" t="s">
        <v>45</v>
      </c>
      <c r="F2" s="12" t="s">
        <v>23</v>
      </c>
      <c r="G2" s="12" t="s">
        <v>24</v>
      </c>
      <c r="H2" s="12" t="s">
        <v>47</v>
      </c>
      <c r="I2" s="12" t="s">
        <v>25</v>
      </c>
    </row>
    <row r="3" spans="1:11" x14ac:dyDescent="0.3">
      <c r="A3" s="14" t="s">
        <v>26</v>
      </c>
      <c r="B3" s="15" t="s">
        <v>27</v>
      </c>
      <c r="C3" s="16">
        <v>25</v>
      </c>
      <c r="D3" s="16">
        <v>0</v>
      </c>
      <c r="E3" s="17">
        <v>0</v>
      </c>
      <c r="F3" s="18">
        <f>IFERROR(E3/D3,0)</f>
        <v>0</v>
      </c>
      <c r="G3" s="18">
        <f>C3*F3</f>
        <v>0</v>
      </c>
      <c r="H3" s="18">
        <f>D3*G3</f>
        <v>0</v>
      </c>
      <c r="I3" s="19">
        <f>SUM(G3:G4)</f>
        <v>0</v>
      </c>
    </row>
    <row r="4" spans="1:11" x14ac:dyDescent="0.3">
      <c r="A4" s="20" t="s">
        <v>26</v>
      </c>
      <c r="B4" s="21" t="s">
        <v>28</v>
      </c>
      <c r="C4" s="22">
        <v>0</v>
      </c>
      <c r="D4" s="22">
        <v>0</v>
      </c>
      <c r="E4" s="23">
        <v>0</v>
      </c>
      <c r="F4" s="24">
        <f>IFERROR(E4/D4,0)</f>
        <v>0</v>
      </c>
      <c r="G4" s="24">
        <f>C4*F4</f>
        <v>0</v>
      </c>
      <c r="H4" s="24">
        <f>D4*G4</f>
        <v>0</v>
      </c>
      <c r="I4" s="25"/>
    </row>
    <row r="5" spans="1:11" x14ac:dyDescent="0.3">
      <c r="A5" s="14" t="s">
        <v>29</v>
      </c>
      <c r="B5" s="15" t="s">
        <v>30</v>
      </c>
      <c r="C5" s="16">
        <v>0</v>
      </c>
      <c r="D5" s="16">
        <v>0</v>
      </c>
      <c r="E5" s="17">
        <v>0</v>
      </c>
      <c r="F5" s="18">
        <f>IFERROR(E5/D5,0)</f>
        <v>0</v>
      </c>
      <c r="G5" s="18">
        <f>C5*F5</f>
        <v>0</v>
      </c>
      <c r="H5" s="18">
        <f>D5*G5</f>
        <v>0</v>
      </c>
      <c r="I5" s="19">
        <f>SUM(G5:G7)</f>
        <v>0</v>
      </c>
    </row>
    <row r="6" spans="1:11" x14ac:dyDescent="0.3">
      <c r="A6" s="26" t="s">
        <v>29</v>
      </c>
      <c r="B6" s="27" t="s">
        <v>31</v>
      </c>
      <c r="C6" s="28">
        <v>0</v>
      </c>
      <c r="D6" s="28">
        <v>0</v>
      </c>
      <c r="E6" s="29">
        <v>0</v>
      </c>
      <c r="F6" s="30">
        <f>IFERROR(E6/D6,0)</f>
        <v>0</v>
      </c>
      <c r="G6" s="30">
        <f>C6*F6</f>
        <v>0</v>
      </c>
      <c r="H6" s="30">
        <f>D6*G6</f>
        <v>0</v>
      </c>
      <c r="I6" s="31"/>
    </row>
    <row r="7" spans="1:11" x14ac:dyDescent="0.3">
      <c r="A7" s="20" t="s">
        <v>29</v>
      </c>
      <c r="B7" s="21" t="s">
        <v>28</v>
      </c>
      <c r="C7" s="22">
        <v>0</v>
      </c>
      <c r="D7" s="22">
        <v>0</v>
      </c>
      <c r="E7" s="23">
        <v>0</v>
      </c>
      <c r="F7" s="24">
        <f>IFERROR(E7/D7,0)</f>
        <v>0</v>
      </c>
      <c r="G7" s="24">
        <f>C7*F7</f>
        <v>0</v>
      </c>
      <c r="H7" s="24">
        <f>D7*G7</f>
        <v>0</v>
      </c>
      <c r="I7" s="25"/>
    </row>
    <row r="8" spans="1:11" x14ac:dyDescent="0.3">
      <c r="A8" s="14" t="s">
        <v>32</v>
      </c>
      <c r="B8" s="15" t="s">
        <v>33</v>
      </c>
      <c r="C8" s="16">
        <v>0</v>
      </c>
      <c r="D8" s="16">
        <v>0</v>
      </c>
      <c r="E8" s="17">
        <v>0</v>
      </c>
      <c r="F8" s="18">
        <f>IFERROR(E8/D8,0)</f>
        <v>0</v>
      </c>
      <c r="G8" s="18">
        <f>C8*F8</f>
        <v>0</v>
      </c>
      <c r="H8" s="18">
        <f>D8*G8</f>
        <v>0</v>
      </c>
      <c r="I8" s="19">
        <f>SUM(G8:G10)</f>
        <v>0</v>
      </c>
    </row>
    <row r="9" spans="1:11" x14ac:dyDescent="0.3">
      <c r="A9" s="26" t="s">
        <v>32</v>
      </c>
      <c r="B9" s="27" t="s">
        <v>34</v>
      </c>
      <c r="C9" s="28">
        <v>0</v>
      </c>
      <c r="D9" s="28">
        <v>0</v>
      </c>
      <c r="E9" s="29">
        <v>0</v>
      </c>
      <c r="F9" s="30">
        <f>IFERROR(E9/D9,0)</f>
        <v>0</v>
      </c>
      <c r="G9" s="30">
        <f>C9*F9</f>
        <v>0</v>
      </c>
      <c r="H9" s="30">
        <f>D9*G9</f>
        <v>0</v>
      </c>
      <c r="I9" s="31"/>
    </row>
    <row r="10" spans="1:11" x14ac:dyDescent="0.3">
      <c r="A10" s="20" t="s">
        <v>32</v>
      </c>
      <c r="B10" s="21" t="s">
        <v>35</v>
      </c>
      <c r="C10" s="22">
        <v>0</v>
      </c>
      <c r="D10" s="22">
        <v>0</v>
      </c>
      <c r="E10" s="23">
        <v>0</v>
      </c>
      <c r="F10" s="24">
        <f>IFERROR(E10/D10,0)</f>
        <v>0</v>
      </c>
      <c r="G10" s="24">
        <f>C10*F10</f>
        <v>0</v>
      </c>
      <c r="H10" s="24">
        <f>D10*G10</f>
        <v>0</v>
      </c>
      <c r="I10" s="25"/>
    </row>
    <row r="11" spans="1:11" x14ac:dyDescent="0.3">
      <c r="A11" s="14" t="s">
        <v>36</v>
      </c>
      <c r="B11" s="15" t="s">
        <v>37</v>
      </c>
      <c r="C11" s="16">
        <v>0</v>
      </c>
      <c r="D11" s="16">
        <v>0</v>
      </c>
      <c r="E11" s="17">
        <v>0</v>
      </c>
      <c r="F11" s="18">
        <f>IFERROR(E11/D11,0)</f>
        <v>0</v>
      </c>
      <c r="G11" s="18">
        <f>C11*F11</f>
        <v>0</v>
      </c>
      <c r="H11" s="18">
        <f>D11*G11</f>
        <v>0</v>
      </c>
      <c r="I11" s="19">
        <f>SUM(G11:G13)</f>
        <v>0</v>
      </c>
    </row>
    <row r="12" spans="1:11" x14ac:dyDescent="0.3">
      <c r="A12" s="26" t="s">
        <v>36</v>
      </c>
      <c r="B12" s="27" t="s">
        <v>38</v>
      </c>
      <c r="C12" s="28">
        <v>0</v>
      </c>
      <c r="D12" s="28">
        <v>0</v>
      </c>
      <c r="E12" s="29">
        <v>0</v>
      </c>
      <c r="F12" s="30">
        <f>IFERROR(E12/D12,0)</f>
        <v>0</v>
      </c>
      <c r="G12" s="30">
        <f>C12*F12</f>
        <v>0</v>
      </c>
      <c r="H12" s="30">
        <f>D12*G12</f>
        <v>0</v>
      </c>
      <c r="I12" s="31"/>
    </row>
    <row r="13" spans="1:11" x14ac:dyDescent="0.3">
      <c r="A13" s="20" t="s">
        <v>36</v>
      </c>
      <c r="B13" s="21" t="s">
        <v>35</v>
      </c>
      <c r="C13" s="22">
        <v>0</v>
      </c>
      <c r="D13" s="22">
        <v>0</v>
      </c>
      <c r="E13" s="23">
        <v>0</v>
      </c>
      <c r="F13" s="24">
        <f>IFERROR(E13/D13,0)</f>
        <v>0</v>
      </c>
      <c r="G13" s="24">
        <f>C13*F13</f>
        <v>0</v>
      </c>
      <c r="H13" s="24">
        <f>D13*G13</f>
        <v>0</v>
      </c>
      <c r="I13" s="25"/>
    </row>
    <row r="14" spans="1:11" x14ac:dyDescent="0.3">
      <c r="A14" s="14" t="s">
        <v>39</v>
      </c>
      <c r="B14" s="15" t="s">
        <v>30</v>
      </c>
      <c r="C14" s="16">
        <v>0</v>
      </c>
      <c r="D14" s="16">
        <v>0</v>
      </c>
      <c r="E14" s="17">
        <v>0</v>
      </c>
      <c r="F14" s="18">
        <f>IFERROR(E14/D14,0)</f>
        <v>0</v>
      </c>
      <c r="G14" s="18">
        <f>C14*F14</f>
        <v>0</v>
      </c>
      <c r="H14" s="18">
        <f>D14*G14</f>
        <v>0</v>
      </c>
      <c r="I14" s="19">
        <f>SUM(G14:G17)</f>
        <v>0</v>
      </c>
    </row>
    <row r="15" spans="1:11" x14ac:dyDescent="0.3">
      <c r="A15" s="26" t="s">
        <v>39</v>
      </c>
      <c r="B15" s="27" t="s">
        <v>40</v>
      </c>
      <c r="C15" s="28">
        <v>0</v>
      </c>
      <c r="D15" s="28">
        <v>0</v>
      </c>
      <c r="E15" s="29">
        <v>0</v>
      </c>
      <c r="F15" s="30">
        <f>IFERROR(E15/D15,0)</f>
        <v>0</v>
      </c>
      <c r="G15" s="30">
        <f>C15*F15</f>
        <v>0</v>
      </c>
      <c r="H15" s="30">
        <f>D15*G15</f>
        <v>0</v>
      </c>
      <c r="I15" s="31"/>
    </row>
    <row r="16" spans="1:11" x14ac:dyDescent="0.3">
      <c r="A16" s="26" t="s">
        <v>39</v>
      </c>
      <c r="B16" s="27" t="s">
        <v>41</v>
      </c>
      <c r="C16" s="28">
        <v>0</v>
      </c>
      <c r="D16" s="28">
        <v>0</v>
      </c>
      <c r="E16" s="29">
        <v>0</v>
      </c>
      <c r="F16" s="30">
        <f>IFERROR(E16/D16,0)</f>
        <v>0</v>
      </c>
      <c r="G16" s="30">
        <f>C16*F16</f>
        <v>0</v>
      </c>
      <c r="H16" s="30">
        <f>D16*G16</f>
        <v>0</v>
      </c>
      <c r="I16" s="31"/>
    </row>
    <row r="17" spans="1:9" x14ac:dyDescent="0.3">
      <c r="A17" s="20" t="s">
        <v>39</v>
      </c>
      <c r="B17" s="21" t="s">
        <v>42</v>
      </c>
      <c r="C17" s="22">
        <v>0</v>
      </c>
      <c r="D17" s="22">
        <v>0</v>
      </c>
      <c r="E17" s="23">
        <v>0</v>
      </c>
      <c r="F17" s="24">
        <f>IFERROR(E17/D17,0)</f>
        <v>0</v>
      </c>
      <c r="G17" s="24">
        <f>C17*F17</f>
        <v>0</v>
      </c>
      <c r="H17" s="24">
        <f>D17*G17</f>
        <v>0</v>
      </c>
      <c r="I17" s="25"/>
    </row>
  </sheetData>
  <mergeCells count="2">
    <mergeCell ref="A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Badawi</dc:creator>
  <cp:lastModifiedBy>Ola Badawi</cp:lastModifiedBy>
  <dcterms:created xsi:type="dcterms:W3CDTF">2026-10-29T12:52:56Z</dcterms:created>
  <dcterms:modified xsi:type="dcterms:W3CDTF">2026-10-29T13:35:48Z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9f7dbc-2806-47c8-8b7a-079b974d3249_Enabled">
    <vt:lpwstr>true</vt:lpwstr>
  </property>
  <property fmtid="{D5CDD505-2E9C-101B-9397-08002B2CF9AE}" pid="3" name="MSIP_Label_5a9f7dbc-2806-47c8-8b7a-079b974d3249_SetDate">
    <vt:lpwstr>2026-10-29T12:53:10Z</vt:lpwstr>
  </property>
  <property fmtid="{D5CDD505-2E9C-101B-9397-08002B2CF9AE}" pid="4" name="MSIP_Label_5a9f7dbc-2806-47c8-8b7a-079b974d3249_Method">
    <vt:lpwstr>Standard</vt:lpwstr>
  </property>
  <property fmtid="{D5CDD505-2E9C-101B-9397-08002B2CF9AE}" pid="5" name="MSIP_Label_5a9f7dbc-2806-47c8-8b7a-079b974d3249_Name">
    <vt:lpwstr>Restricted</vt:lpwstr>
  </property>
  <property fmtid="{D5CDD505-2E9C-101B-9397-08002B2CF9AE}" pid="6" name="MSIP_Label_5a9f7dbc-2806-47c8-8b7a-079b974d3249_SiteId">
    <vt:lpwstr>fb4eb8f6-03cd-4fc7-a165-2f10f0955f17</vt:lpwstr>
  </property>
  <property fmtid="{D5CDD505-2E9C-101B-9397-08002B2CF9AE}" pid="7" name="MSIP_Label_5a9f7dbc-2806-47c8-8b7a-079b974d3249_ActionId">
    <vt:lpwstr>374fe0cf-4150-4b43-be42-764c8c60973a</vt:lpwstr>
  </property>
  <property fmtid="{D5CDD505-2E9C-101B-9397-08002B2CF9AE}" pid="8" name="MSIP_Label_5a9f7dbc-2806-47c8-8b7a-079b974d3249_ContentBits">
    <vt:lpwstr>2</vt:lpwstr>
  </property>
  <property fmtid="{D5CDD505-2E9C-101B-9397-08002B2CF9AE}" pid="9" name="MSIP_Label_5a9f7dbc-2806-47c8-8b7a-079b974d3249_Tag">
    <vt:lpwstr>10, 1, 2, 1</vt:lpwstr>
  </property>
</Properties>
</file>