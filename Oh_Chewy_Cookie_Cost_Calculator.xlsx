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ahaluf-my.sharepoint.com/personal/o_badawi_ext_tahaluf_ae/Documents/Desktop/cookies/Oh-Chewy/"/>
    </mc:Choice>
  </mc:AlternateContent>
  <xr:revisionPtr revIDLastSave="1" documentId="14_{56562527-23F4-4E6A-A6F1-190B3297969D}" xr6:coauthVersionLast="47" xr6:coauthVersionMax="47" xr10:uidLastSave="{3E9F6FC4-F9C5-4668-9857-2FE9E671460C}"/>
  <bookViews>
    <workbookView xWindow="-108" yWindow="-108" windowWidth="23256" windowHeight="12456" xr2:uid="{00000000-000D-0000-FFFF-FFFF00000000}"/>
  </bookViews>
  <sheets>
    <sheet name="Dough Cost" sheetId="1" r:id="rId1"/>
    <sheet name="Flavor Costs" sheetId="2" r:id="rId2"/>
    <sheet name="Production Costs" sheetId="3" r:id="rId3"/>
    <sheet name="Packaging" sheetId="4" r:id="rId4"/>
    <sheet name="Pricing Summary" sheetId="5" r:id="rId5"/>
  </sheets>
  <calcPr calcId="191028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4" l="1"/>
  <c r="F17" i="4" s="1"/>
  <c r="D16" i="4"/>
  <c r="F16" i="4" s="1"/>
  <c r="D15" i="4"/>
  <c r="F15" i="4" s="1"/>
  <c r="D14" i="4"/>
  <c r="F14" i="4" s="1"/>
  <c r="D13" i="4"/>
  <c r="F13" i="4" s="1"/>
  <c r="D12" i="4"/>
  <c r="F12" i="4" s="1"/>
  <c r="D11" i="4"/>
  <c r="F11" i="4" s="1"/>
  <c r="H16" i="5" s="1"/>
  <c r="D10" i="4"/>
  <c r="F10" i="4" s="1"/>
  <c r="H15" i="5" s="1"/>
  <c r="D9" i="4"/>
  <c r="F9" i="4" s="1"/>
  <c r="H14" i="5" s="1"/>
  <c r="D8" i="4"/>
  <c r="F8" i="4" s="1"/>
  <c r="H13" i="5" s="1"/>
  <c r="D7" i="4"/>
  <c r="F7" i="4" s="1"/>
  <c r="D6" i="4"/>
  <c r="F6" i="4" s="1"/>
  <c r="D5" i="4"/>
  <c r="F5" i="4" s="1"/>
  <c r="D4" i="4"/>
  <c r="F4" i="4" s="1"/>
  <c r="F19" i="4" s="1"/>
  <c r="E32" i="1" s="1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H9" i="2" s="1"/>
  <c r="C6" i="5" s="1"/>
  <c r="F8" i="2"/>
  <c r="G8" i="2" s="1"/>
  <c r="F7" i="2"/>
  <c r="G7" i="2" s="1"/>
  <c r="F6" i="2"/>
  <c r="G6" i="2" s="1"/>
  <c r="F5" i="2"/>
  <c r="G5" i="2" s="1"/>
  <c r="F4" i="2"/>
  <c r="G4" i="2" s="1"/>
  <c r="H4" i="2" s="1"/>
  <c r="C4" i="5" s="1"/>
  <c r="E30" i="1"/>
  <c r="G24" i="1"/>
  <c r="H24" i="1" s="1"/>
  <c r="I24" i="1" s="1"/>
  <c r="G23" i="1"/>
  <c r="H23" i="1" s="1"/>
  <c r="I23" i="1" s="1"/>
  <c r="G22" i="1"/>
  <c r="H22" i="1" s="1"/>
  <c r="I22" i="1" s="1"/>
  <c r="G21" i="1"/>
  <c r="H21" i="1" s="1"/>
  <c r="I21" i="1" s="1"/>
  <c r="G20" i="1"/>
  <c r="H20" i="1" s="1"/>
  <c r="I20" i="1" s="1"/>
  <c r="G19" i="1"/>
  <c r="H19" i="1" s="1"/>
  <c r="I19" i="1" s="1"/>
  <c r="G18" i="1"/>
  <c r="H18" i="1" s="1"/>
  <c r="I18" i="1" s="1"/>
  <c r="G17" i="1"/>
  <c r="H17" i="1" s="1"/>
  <c r="I17" i="1" s="1"/>
  <c r="G16" i="1"/>
  <c r="H16" i="1" s="1"/>
  <c r="I16" i="1" s="1"/>
  <c r="G15" i="1"/>
  <c r="H15" i="1" s="1"/>
  <c r="I15" i="1" s="1"/>
  <c r="G14" i="1"/>
  <c r="H14" i="1" s="1"/>
  <c r="I14" i="1" s="1"/>
  <c r="G13" i="1"/>
  <c r="H13" i="1" s="1"/>
  <c r="I13" i="1" s="1"/>
  <c r="G12" i="1"/>
  <c r="H12" i="1" s="1"/>
  <c r="I12" i="1" s="1"/>
  <c r="G11" i="1"/>
  <c r="H11" i="1" s="1"/>
  <c r="I11" i="1" s="1"/>
  <c r="B7" i="1"/>
  <c r="H15" i="2" l="1"/>
  <c r="C8" i="5" s="1"/>
  <c r="H6" i="2"/>
  <c r="C5" i="5" s="1"/>
  <c r="I25" i="1"/>
  <c r="E29" i="1" s="1"/>
  <c r="H12" i="2"/>
  <c r="C7" i="5" s="1"/>
  <c r="E28" i="1"/>
  <c r="E18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E8" i="5"/>
  <c r="E7" i="5"/>
  <c r="E6" i="5"/>
  <c r="E5" i="5"/>
  <c r="E4" i="5"/>
  <c r="F18" i="3" l="1"/>
  <c r="B8" i="5"/>
  <c r="B7" i="5"/>
  <c r="B6" i="5"/>
  <c r="B5" i="5"/>
  <c r="B4" i="5"/>
  <c r="D8" i="5" l="1"/>
  <c r="F8" i="5" s="1"/>
  <c r="D7" i="5"/>
  <c r="F7" i="5" s="1"/>
  <c r="D6" i="5"/>
  <c r="F6" i="5" s="1"/>
  <c r="D5" i="5"/>
  <c r="F5" i="5" s="1"/>
  <c r="D4" i="5"/>
  <c r="F4" i="5" s="1"/>
  <c r="E31" i="1"/>
  <c r="E33" i="1" s="1"/>
  <c r="E37" i="1" l="1"/>
  <c r="E35" i="1"/>
  <c r="E34" i="1"/>
  <c r="E36" i="1" s="1"/>
  <c r="G16" i="5"/>
  <c r="I16" i="5" s="1"/>
  <c r="G15" i="5"/>
  <c r="I15" i="5" s="1"/>
  <c r="G14" i="5"/>
  <c r="I14" i="5" s="1"/>
  <c r="G13" i="5"/>
  <c r="I13" i="5" s="1"/>
  <c r="I4" i="5"/>
  <c r="H4" i="5"/>
  <c r="I5" i="5"/>
  <c r="H5" i="5"/>
  <c r="I6" i="5"/>
  <c r="H6" i="5"/>
  <c r="I7" i="5"/>
  <c r="H7" i="5"/>
  <c r="I8" i="5"/>
  <c r="H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E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Current selling price provided by the user: 1.00 JOD for Classic.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Enter flavor quantities totaling 5.</t>
        </r>
      </text>
    </comment>
    <comment ref="A1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Enter flavor quantities totaling 10.</t>
        </r>
      </text>
    </comment>
    <comment ref="A15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Enter flavor quantities totaling 15.</t>
        </r>
      </text>
    </comment>
    <comment ref="A16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Enter flavor quantities totaling 20.</t>
        </r>
      </text>
    </comment>
  </commentList>
</comments>
</file>

<file path=xl/sharedStrings.xml><?xml version="1.0" encoding="utf-8"?>
<sst xmlns="http://schemas.openxmlformats.org/spreadsheetml/2006/main" count="196" uniqueCount="133">
  <si>
    <t>OH, CHEWY! – COOKIE DOUGH COST CALCULATOR</t>
  </si>
  <si>
    <t>Enter the quantities used in one batch and the package prices. Blue cells are inputs; black cells calculate automatically.</t>
  </si>
  <si>
    <t>Batch Settings</t>
  </si>
  <si>
    <t>Cookies produced per batch</t>
  </si>
  <si>
    <t>Dough weight per cookie (g)</t>
  </si>
  <si>
    <t>Unsellable/test cookies per batch</t>
  </si>
  <si>
    <t>Waste allowance</t>
  </si>
  <si>
    <t>Sellable cookies per batch</t>
  </si>
  <si>
    <t>Classic selling price (JOD)</t>
  </si>
  <si>
    <t>Ingredient</t>
  </si>
  <si>
    <t>Quantity used / batch</t>
  </si>
  <si>
    <t>Unit</t>
  </si>
  <si>
    <t>Package quantity</t>
  </si>
  <si>
    <t>Package unit</t>
  </si>
  <si>
    <t>Package price (JOD)</t>
  </si>
  <si>
    <t>Cost per unit</t>
  </si>
  <si>
    <t>Batch ingredient cost</t>
  </si>
  <si>
    <t>Cost incl. waste</t>
  </si>
  <si>
    <t>Notes</t>
  </si>
  <si>
    <t>Butter</t>
  </si>
  <si>
    <t>g</t>
  </si>
  <si>
    <t>Brown sugar</t>
  </si>
  <si>
    <t>Granulated sugar</t>
  </si>
  <si>
    <t>Flour</t>
  </si>
  <si>
    <t>Eggs</t>
  </si>
  <si>
    <t>Baking soda</t>
  </si>
  <si>
    <t>Baking powder</t>
  </si>
  <si>
    <t>Vanilla</t>
  </si>
  <si>
    <t>Salt</t>
  </si>
  <si>
    <t>Cocoa powder (if in base)</t>
  </si>
  <si>
    <t>Milk / cream (if used)</t>
  </si>
  <si>
    <t>Cornstarch (if used)</t>
  </si>
  <si>
    <t>Other base ingredient 1</t>
  </si>
  <si>
    <t>Other base ingredient 2</t>
  </si>
  <si>
    <t>TOTAL BASE DOUGH COST / BATCH</t>
  </si>
  <si>
    <t>CLASSIC COOKIE PRICE CHECK</t>
  </si>
  <si>
    <t>Base dough cost per sellable cookie</t>
  </si>
  <si>
    <t>Base dough cost per gram</t>
  </si>
  <si>
    <t>Classic additions cost per cookie</t>
  </si>
  <si>
    <t>Production/overhead per cookie</t>
  </si>
  <si>
    <t>Single-cookie packaging cost</t>
  </si>
  <si>
    <t>TOTAL CLASSIC COST PER COOKIE</t>
  </si>
  <si>
    <t>Profit per Classic cookie</t>
  </si>
  <si>
    <t>Cost as % of selling price</t>
  </si>
  <si>
    <t>Gross margin %</t>
  </si>
  <si>
    <t>Price check</t>
  </si>
  <si>
    <t>FLAVOR ADDITIONS COST PER COOKIE</t>
  </si>
  <si>
    <t>Flavor</t>
  </si>
  <si>
    <t>Addition</t>
  </si>
  <si>
    <t>Grams per cookie</t>
  </si>
  <si>
    <t>Package grams</t>
  </si>
  <si>
    <t>Cost per gram</t>
  </si>
  <si>
    <t>Cost per cookie</t>
  </si>
  <si>
    <t>Flavor total</t>
  </si>
  <si>
    <t>Classic</t>
  </si>
  <si>
    <t>Chocolate chips</t>
  </si>
  <si>
    <t>Other topping</t>
  </si>
  <si>
    <t>Double Chocolate</t>
  </si>
  <si>
    <t>Cocoa powder</t>
  </si>
  <si>
    <t>Chocolate chunks</t>
  </si>
  <si>
    <t>Lotus Biscoff</t>
  </si>
  <si>
    <t>Lotus spread filling</t>
  </si>
  <si>
    <t>Lotus biscuit</t>
  </si>
  <si>
    <t>Chocolate / topping</t>
  </si>
  <si>
    <t>Pistachio</t>
  </si>
  <si>
    <t>Pistachio cream filling</t>
  </si>
  <si>
    <t>Pistachio pieces</t>
  </si>
  <si>
    <t>Red Velvet</t>
  </si>
  <si>
    <t>Red coloring</t>
  </si>
  <si>
    <t>White chocolate</t>
  </si>
  <si>
    <t>Cream cheese / filling</t>
  </si>
  <si>
    <t>PRODUCTION, LABOR &amp; OVERHEAD COSTS</t>
  </si>
  <si>
    <t>Cost item</t>
  </si>
  <si>
    <t>Quantity / time</t>
  </si>
  <si>
    <t>Rate / unit (JOD)</t>
  </si>
  <si>
    <t>Batch cost (JOD)</t>
  </si>
  <si>
    <t>Cost per sellable cookie</t>
  </si>
  <si>
    <t>Oven electricity / gas</t>
  </si>
  <si>
    <t>batch</t>
  </si>
  <si>
    <t>Mixer electricity</t>
  </si>
  <si>
    <t>Refrigerator/freezer allocation</t>
  </si>
  <si>
    <t>Preparation labor</t>
  </si>
  <si>
    <t>hours</t>
  </si>
  <si>
    <t>Portioning/filling labor</t>
  </si>
  <si>
    <t>Baking/cooling labor</t>
  </si>
  <si>
    <t>Packing/cleaning labor</t>
  </si>
  <si>
    <t>Cleaning supplies</t>
  </si>
  <si>
    <t>Gloves / hair covers</t>
  </si>
  <si>
    <t>Equipment depreciation</t>
  </si>
  <si>
    <t>Kitchen/rent allocation</t>
  </si>
  <si>
    <t>Marketing/samples allocation</t>
  </si>
  <si>
    <t>Payment/platform fees allocation</t>
  </si>
  <si>
    <t>Other overhead</t>
  </si>
  <si>
    <t>TOTAL</t>
  </si>
  <si>
    <t>PACKAGING COSTS</t>
  </si>
  <si>
    <t>Packaging item</t>
  </si>
  <si>
    <t>Units purchased</t>
  </si>
  <si>
    <t>Units used per order</t>
  </si>
  <si>
    <t>Cost per order</t>
  </si>
  <si>
    <t>Single-cookie bag/wrap</t>
  </si>
  <si>
    <t>Flavor sticker</t>
  </si>
  <si>
    <t>Logo/sealing sticker</t>
  </si>
  <si>
    <t>Baking paper allocation</t>
  </si>
  <si>
    <t>Box – 5 cookies</t>
  </si>
  <si>
    <t>Box – 10 cookies</t>
  </si>
  <si>
    <t>Box – 15 cookies</t>
  </si>
  <si>
    <t>Box – 20 cookies</t>
  </si>
  <si>
    <t>Ingredient/allergen label</t>
  </si>
  <si>
    <t>Production-date label</t>
  </si>
  <si>
    <t>Thank-you card</t>
  </si>
  <si>
    <t>Paper bag</t>
  </si>
  <si>
    <t>Ribbon/gift decoration</t>
  </si>
  <si>
    <t>Other packaging</t>
  </si>
  <si>
    <t>Single-cookie packaging subtotal</t>
  </si>
  <si>
    <t>OH, CHEWY! – COST &amp; PRICING SUMMARY</t>
  </si>
  <si>
    <t>Base dough</t>
  </si>
  <si>
    <t>Flavor additions</t>
  </si>
  <si>
    <t>Production/overhead</t>
  </si>
  <si>
    <t>Single packaging</t>
  </si>
  <si>
    <t>Total cost</t>
  </si>
  <si>
    <t>Current price</t>
  </si>
  <si>
    <t>Profit</t>
  </si>
  <si>
    <t>Cost % of price</t>
  </si>
  <si>
    <t>BOX PRICE CALCULATOR</t>
  </si>
  <si>
    <t>Box size</t>
  </si>
  <si>
    <t>Classic qty</t>
  </si>
  <si>
    <t>Double Choc qty</t>
  </si>
  <si>
    <t>Lotus qty</t>
  </si>
  <si>
    <t>Pistachio qty</t>
  </si>
  <si>
    <t>Red Velvet qty</t>
  </si>
  <si>
    <t>Cookie cost</t>
  </si>
  <si>
    <t>Box packaging</t>
  </si>
  <si>
    <t>Total box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</si>
</sst>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\ &quot;JOD&quot;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666666"/>
      <name val="Calibri"/>
    </font>
    <font>
      <b/>
      <sz val="11"/>
      <name val="Calibri"/>
    </font>
    <font>
      <sz val="11"/>
      <name val="Calibri"/>
    </font>
    <font>
      <b/>
      <sz val="17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E2B1F"/>
      </patternFill>
    </fill>
    <fill>
      <patternFill patternType="solid">
        <fgColor rgb="FFFFF6EB"/>
      </patternFill>
    </fill>
    <fill>
      <patternFill patternType="solid">
        <fgColor rgb="FF8F78B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9C9A8"/>
      </patternFill>
    </fill>
    <fill>
      <patternFill patternType="solid">
        <fgColor rgb="FF67B7B0"/>
      </patternFill>
    </fill>
    <fill>
      <patternFill patternType="solid">
        <fgColor rgb="FFA7C957"/>
      </patternFill>
    </fill>
    <fill>
      <patternFill patternType="solid">
        <fgColor rgb="FFD94F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164" fontId="3" fillId="5" borderId="0" xfId="0" applyNumberFormat="1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165" fontId="3" fillId="5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165" fontId="0" fillId="3" borderId="0" xfId="0" applyNumberForma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165" fontId="6" fillId="7" borderId="0" xfId="0" applyNumberFormat="1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165" fontId="7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0" fontId="6" fillId="6" borderId="0" xfId="0" applyFont="1" applyFill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showGridLines="0" tabSelected="1" zoomScale="72" zoomScaleNormal="70" workbookViewId="0">
      <pane ySplit="3" topLeftCell="A5" activePane="bottomLeft" state="frozen"/>
      <selection pane="bottomLeft" activeCell="J11" sqref="J11"/>
    </sheetView>
  </sheetViews>
  <sheetFormatPr defaultRowHeight="14.4" x14ac:dyDescent="0.3"/>
  <cols>
    <col min="1" max="1" width="30" customWidth="1"/>
    <col min="2" max="2" width="23" customWidth="1"/>
    <col min="3" max="3" width="12" customWidth="1"/>
    <col min="4" max="4" width="29" customWidth="1"/>
    <col min="5" max="5" width="30" customWidth="1"/>
    <col min="6" max="7" width="21" customWidth="1"/>
    <col min="8" max="8" width="23" customWidth="1"/>
    <col min="9" max="9" width="18" customWidth="1"/>
    <col min="10" max="10" width="12" customWidth="1"/>
  </cols>
  <sheetData>
    <row r="1" spans="1:10" ht="30" customHeigh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">
      <c r="A2" s="27" t="s">
        <v>1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 t="s">
        <v>3</v>
      </c>
      <c r="B5" s="3">
        <v>0</v>
      </c>
      <c r="C5" s="1"/>
      <c r="D5" s="1" t="s">
        <v>4</v>
      </c>
      <c r="E5" s="3">
        <v>70</v>
      </c>
      <c r="F5" s="1"/>
      <c r="G5" s="1"/>
      <c r="H5" s="1"/>
      <c r="I5" s="1"/>
      <c r="J5" s="1"/>
    </row>
    <row r="6" spans="1:10" x14ac:dyDescent="0.3">
      <c r="A6" s="1" t="s">
        <v>5</v>
      </c>
      <c r="B6" s="3">
        <v>0</v>
      </c>
      <c r="C6" s="1"/>
      <c r="D6" s="1" t="s">
        <v>6</v>
      </c>
      <c r="E6" s="4">
        <v>0.05</v>
      </c>
      <c r="F6" s="1"/>
      <c r="G6" s="1"/>
      <c r="H6" s="1"/>
      <c r="I6" s="1"/>
      <c r="J6" s="1"/>
    </row>
    <row r="7" spans="1:10" x14ac:dyDescent="0.3">
      <c r="A7" s="1" t="s">
        <v>7</v>
      </c>
      <c r="B7" s="5">
        <f>MAX(B5-B6,0)</f>
        <v>0</v>
      </c>
      <c r="C7" s="1"/>
      <c r="D7" s="1" t="s">
        <v>8</v>
      </c>
      <c r="E7" s="6">
        <v>1</v>
      </c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7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7" t="s">
        <v>14</v>
      </c>
      <c r="G10" s="7" t="s">
        <v>15</v>
      </c>
      <c r="H10" s="7" t="s">
        <v>16</v>
      </c>
      <c r="I10" s="7" t="s">
        <v>17</v>
      </c>
      <c r="J10" s="7" t="s">
        <v>18</v>
      </c>
    </row>
    <row r="11" spans="1:10" x14ac:dyDescent="0.3">
      <c r="A11" s="8" t="s">
        <v>19</v>
      </c>
      <c r="B11" s="3">
        <v>0</v>
      </c>
      <c r="C11" s="3" t="s">
        <v>20</v>
      </c>
      <c r="D11" s="3">
        <v>0</v>
      </c>
      <c r="E11" s="3" t="s">
        <v>20</v>
      </c>
      <c r="F11" s="6">
        <v>0</v>
      </c>
      <c r="G11" s="9">
        <f t="shared" ref="G11:G24" si="0">IFERROR(F11/D11,0)</f>
        <v>0</v>
      </c>
      <c r="H11" s="9">
        <f t="shared" ref="H11:H24" si="1">B11*G11</f>
        <v>0</v>
      </c>
      <c r="I11" s="9">
        <f t="shared" ref="I11:I24" si="2">H11*(1+$E$6)</f>
        <v>0</v>
      </c>
      <c r="J11" s="3"/>
    </row>
    <row r="12" spans="1:10" x14ac:dyDescent="0.3">
      <c r="A12" s="8" t="s">
        <v>21</v>
      </c>
      <c r="B12" s="3">
        <v>0</v>
      </c>
      <c r="C12" s="3" t="s">
        <v>20</v>
      </c>
      <c r="D12" s="3">
        <v>0</v>
      </c>
      <c r="E12" s="3" t="s">
        <v>20</v>
      </c>
      <c r="F12" s="6">
        <v>0</v>
      </c>
      <c r="G12" s="9">
        <f t="shared" si="0"/>
        <v>0</v>
      </c>
      <c r="H12" s="9">
        <f t="shared" si="1"/>
        <v>0</v>
      </c>
      <c r="I12" s="9">
        <f t="shared" si="2"/>
        <v>0</v>
      </c>
      <c r="J12" s="3"/>
    </row>
    <row r="13" spans="1:10" x14ac:dyDescent="0.3">
      <c r="A13" s="8" t="s">
        <v>22</v>
      </c>
      <c r="B13" s="3">
        <v>0</v>
      </c>
      <c r="C13" s="3" t="s">
        <v>20</v>
      </c>
      <c r="D13" s="3">
        <v>0</v>
      </c>
      <c r="E13" s="3" t="s">
        <v>20</v>
      </c>
      <c r="F13" s="6">
        <v>0</v>
      </c>
      <c r="G13" s="9">
        <f t="shared" si="0"/>
        <v>0</v>
      </c>
      <c r="H13" s="9">
        <f t="shared" si="1"/>
        <v>0</v>
      </c>
      <c r="I13" s="9">
        <f t="shared" si="2"/>
        <v>0</v>
      </c>
      <c r="J13" s="3"/>
    </row>
    <row r="14" spans="1:10" x14ac:dyDescent="0.3">
      <c r="A14" s="8" t="s">
        <v>23</v>
      </c>
      <c r="B14" s="3">
        <v>0</v>
      </c>
      <c r="C14" s="3" t="s">
        <v>20</v>
      </c>
      <c r="D14" s="3">
        <v>0</v>
      </c>
      <c r="E14" s="3" t="s">
        <v>20</v>
      </c>
      <c r="F14" s="6">
        <v>0</v>
      </c>
      <c r="G14" s="9">
        <f t="shared" si="0"/>
        <v>0</v>
      </c>
      <c r="H14" s="9">
        <f t="shared" si="1"/>
        <v>0</v>
      </c>
      <c r="I14" s="9">
        <f t="shared" si="2"/>
        <v>0</v>
      </c>
      <c r="J14" s="3"/>
    </row>
    <row r="15" spans="1:10" x14ac:dyDescent="0.3">
      <c r="A15" s="8" t="s">
        <v>24</v>
      </c>
      <c r="B15" s="3">
        <v>0</v>
      </c>
      <c r="C15" s="3" t="s">
        <v>20</v>
      </c>
      <c r="D15" s="3">
        <v>0</v>
      </c>
      <c r="E15" s="3" t="s">
        <v>20</v>
      </c>
      <c r="F15" s="6">
        <v>0</v>
      </c>
      <c r="G15" s="9">
        <f t="shared" si="0"/>
        <v>0</v>
      </c>
      <c r="H15" s="9">
        <f t="shared" si="1"/>
        <v>0</v>
      </c>
      <c r="I15" s="9">
        <f t="shared" si="2"/>
        <v>0</v>
      </c>
      <c r="J15" s="3"/>
    </row>
    <row r="16" spans="1:10" x14ac:dyDescent="0.3">
      <c r="A16" s="8" t="s">
        <v>25</v>
      </c>
      <c r="B16" s="3">
        <v>0</v>
      </c>
      <c r="C16" s="3" t="s">
        <v>20</v>
      </c>
      <c r="D16" s="3">
        <v>0</v>
      </c>
      <c r="E16" s="3" t="s">
        <v>20</v>
      </c>
      <c r="F16" s="6">
        <v>0</v>
      </c>
      <c r="G16" s="9">
        <f t="shared" si="0"/>
        <v>0</v>
      </c>
      <c r="H16" s="9">
        <f t="shared" si="1"/>
        <v>0</v>
      </c>
      <c r="I16" s="9">
        <f t="shared" si="2"/>
        <v>0</v>
      </c>
      <c r="J16" s="3"/>
    </row>
    <row r="17" spans="1:10" x14ac:dyDescent="0.3">
      <c r="A17" s="8" t="s">
        <v>26</v>
      </c>
      <c r="B17" s="3">
        <v>0</v>
      </c>
      <c r="C17" s="3" t="s">
        <v>20</v>
      </c>
      <c r="D17" s="3">
        <v>0</v>
      </c>
      <c r="E17" s="3" t="s">
        <v>20</v>
      </c>
      <c r="F17" s="6">
        <v>0</v>
      </c>
      <c r="G17" s="9">
        <f t="shared" si="0"/>
        <v>0</v>
      </c>
      <c r="H17" s="9">
        <f t="shared" si="1"/>
        <v>0</v>
      </c>
      <c r="I17" s="9">
        <f t="shared" si="2"/>
        <v>0</v>
      </c>
      <c r="J17" s="3"/>
    </row>
    <row r="18" spans="1:10" x14ac:dyDescent="0.3">
      <c r="A18" s="8" t="s">
        <v>27</v>
      </c>
      <c r="B18" s="3">
        <v>0</v>
      </c>
      <c r="C18" s="3" t="s">
        <v>20</v>
      </c>
      <c r="D18" s="3">
        <v>0</v>
      </c>
      <c r="E18" s="3" t="s">
        <v>20</v>
      </c>
      <c r="F18" s="6">
        <v>0</v>
      </c>
      <c r="G18" s="9">
        <f t="shared" si="0"/>
        <v>0</v>
      </c>
      <c r="H18" s="9">
        <f t="shared" si="1"/>
        <v>0</v>
      </c>
      <c r="I18" s="9">
        <f t="shared" si="2"/>
        <v>0</v>
      </c>
      <c r="J18" s="3"/>
    </row>
    <row r="19" spans="1:10" x14ac:dyDescent="0.3">
      <c r="A19" s="8" t="s">
        <v>28</v>
      </c>
      <c r="B19" s="3">
        <v>0</v>
      </c>
      <c r="C19" s="3" t="s">
        <v>20</v>
      </c>
      <c r="D19" s="3">
        <v>0</v>
      </c>
      <c r="E19" s="3" t="s">
        <v>20</v>
      </c>
      <c r="F19" s="6">
        <v>0</v>
      </c>
      <c r="G19" s="9">
        <f t="shared" si="0"/>
        <v>0</v>
      </c>
      <c r="H19" s="9">
        <f t="shared" si="1"/>
        <v>0</v>
      </c>
      <c r="I19" s="9">
        <f t="shared" si="2"/>
        <v>0</v>
      </c>
      <c r="J19" s="3"/>
    </row>
    <row r="20" spans="1:10" x14ac:dyDescent="0.3">
      <c r="A20" s="8" t="s">
        <v>29</v>
      </c>
      <c r="B20" s="3">
        <v>0</v>
      </c>
      <c r="C20" s="3" t="s">
        <v>20</v>
      </c>
      <c r="D20" s="3">
        <v>0</v>
      </c>
      <c r="E20" s="3" t="s">
        <v>20</v>
      </c>
      <c r="F20" s="6">
        <v>0</v>
      </c>
      <c r="G20" s="9">
        <f t="shared" si="0"/>
        <v>0</v>
      </c>
      <c r="H20" s="9">
        <f t="shared" si="1"/>
        <v>0</v>
      </c>
      <c r="I20" s="9">
        <f t="shared" si="2"/>
        <v>0</v>
      </c>
      <c r="J20" s="3"/>
    </row>
    <row r="21" spans="1:10" x14ac:dyDescent="0.3">
      <c r="A21" s="8" t="s">
        <v>30</v>
      </c>
      <c r="B21" s="3">
        <v>0</v>
      </c>
      <c r="C21" s="3" t="s">
        <v>20</v>
      </c>
      <c r="D21" s="3">
        <v>0</v>
      </c>
      <c r="E21" s="3" t="s">
        <v>20</v>
      </c>
      <c r="F21" s="6">
        <v>0</v>
      </c>
      <c r="G21" s="9">
        <f t="shared" si="0"/>
        <v>0</v>
      </c>
      <c r="H21" s="9">
        <f t="shared" si="1"/>
        <v>0</v>
      </c>
      <c r="I21" s="9">
        <f t="shared" si="2"/>
        <v>0</v>
      </c>
      <c r="J21" s="3"/>
    </row>
    <row r="22" spans="1:10" x14ac:dyDescent="0.3">
      <c r="A22" s="8" t="s">
        <v>31</v>
      </c>
      <c r="B22" s="3">
        <v>0</v>
      </c>
      <c r="C22" s="3" t="s">
        <v>20</v>
      </c>
      <c r="D22" s="3">
        <v>0</v>
      </c>
      <c r="E22" s="3" t="s">
        <v>20</v>
      </c>
      <c r="F22" s="6">
        <v>0</v>
      </c>
      <c r="G22" s="9">
        <f t="shared" si="0"/>
        <v>0</v>
      </c>
      <c r="H22" s="9">
        <f t="shared" si="1"/>
        <v>0</v>
      </c>
      <c r="I22" s="9">
        <f t="shared" si="2"/>
        <v>0</v>
      </c>
      <c r="J22" s="3"/>
    </row>
    <row r="23" spans="1:10" x14ac:dyDescent="0.3">
      <c r="A23" s="8" t="s">
        <v>32</v>
      </c>
      <c r="B23" s="3">
        <v>0</v>
      </c>
      <c r="C23" s="3" t="s">
        <v>20</v>
      </c>
      <c r="D23" s="3">
        <v>0</v>
      </c>
      <c r="E23" s="3" t="s">
        <v>20</v>
      </c>
      <c r="F23" s="6">
        <v>0</v>
      </c>
      <c r="G23" s="9">
        <f t="shared" si="0"/>
        <v>0</v>
      </c>
      <c r="H23" s="9">
        <f t="shared" si="1"/>
        <v>0</v>
      </c>
      <c r="I23" s="9">
        <f t="shared" si="2"/>
        <v>0</v>
      </c>
      <c r="J23" s="3"/>
    </row>
    <row r="24" spans="1:10" x14ac:dyDescent="0.3">
      <c r="A24" s="8" t="s">
        <v>33</v>
      </c>
      <c r="B24" s="3">
        <v>0</v>
      </c>
      <c r="C24" s="3" t="s">
        <v>20</v>
      </c>
      <c r="D24" s="3">
        <v>0</v>
      </c>
      <c r="E24" s="3" t="s">
        <v>20</v>
      </c>
      <c r="F24" s="6">
        <v>0</v>
      </c>
      <c r="G24" s="9">
        <f t="shared" si="0"/>
        <v>0</v>
      </c>
      <c r="H24" s="9">
        <f t="shared" si="1"/>
        <v>0</v>
      </c>
      <c r="I24" s="9">
        <f t="shared" si="2"/>
        <v>0</v>
      </c>
      <c r="J24" s="3"/>
    </row>
    <row r="25" spans="1:10" ht="54" customHeight="1" x14ac:dyDescent="0.3">
      <c r="A25" s="10" t="s">
        <v>34</v>
      </c>
      <c r="B25" s="11"/>
      <c r="C25" s="11"/>
      <c r="D25" s="11"/>
      <c r="E25" s="11"/>
      <c r="F25" s="11"/>
      <c r="G25" s="11"/>
      <c r="H25" s="11"/>
      <c r="I25" s="12">
        <f>SUM(I11:I24)</f>
        <v>0</v>
      </c>
      <c r="J25" s="1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26" t="s">
        <v>35</v>
      </c>
      <c r="B27" s="25"/>
      <c r="C27" s="25"/>
      <c r="D27" s="25"/>
      <c r="E27" s="25"/>
      <c r="F27" s="1"/>
      <c r="G27" s="1"/>
      <c r="H27" s="1"/>
      <c r="I27" s="1"/>
      <c r="J27" s="1"/>
    </row>
    <row r="28" spans="1:10" ht="25.5" customHeight="1" x14ac:dyDescent="0.3">
      <c r="A28" s="14" t="s">
        <v>36</v>
      </c>
      <c r="B28" s="1"/>
      <c r="C28" s="1"/>
      <c r="D28" s="1"/>
      <c r="E28" s="15">
        <f>IFERROR(I25/$B$7,0)</f>
        <v>0</v>
      </c>
      <c r="F28" s="1"/>
      <c r="G28" s="1"/>
      <c r="H28" s="1"/>
      <c r="I28" s="1"/>
      <c r="J28" s="1"/>
    </row>
    <row r="29" spans="1:10" ht="25.5" customHeight="1" x14ac:dyDescent="0.3">
      <c r="A29" s="14" t="s">
        <v>37</v>
      </c>
      <c r="B29" s="1"/>
      <c r="C29" s="1"/>
      <c r="D29" s="1"/>
      <c r="E29" s="15">
        <f>IFERROR(I25/($B$5*$E$5),0)</f>
        <v>0</v>
      </c>
      <c r="F29" s="1"/>
      <c r="G29" s="1"/>
      <c r="H29" s="1"/>
      <c r="I29" s="1"/>
      <c r="J29" s="1"/>
    </row>
    <row r="30" spans="1:10" ht="25.5" customHeight="1" x14ac:dyDescent="0.3">
      <c r="A30" s="14" t="s">
        <v>38</v>
      </c>
      <c r="B30" s="1"/>
      <c r="C30" s="1"/>
      <c r="D30" s="1"/>
      <c r="E30" s="15">
        <f>'Flavor Costs'!H5</f>
        <v>0</v>
      </c>
      <c r="F30" s="1"/>
      <c r="G30" s="1"/>
      <c r="H30" s="1"/>
      <c r="I30" s="1"/>
      <c r="J30" s="1"/>
    </row>
    <row r="31" spans="1:10" ht="25.5" customHeight="1" x14ac:dyDescent="0.3">
      <c r="A31" s="14" t="s">
        <v>39</v>
      </c>
      <c r="B31" s="1"/>
      <c r="C31" s="1"/>
      <c r="D31" s="1"/>
      <c r="E31" s="15">
        <f>'Production Costs'!F18</f>
        <v>0</v>
      </c>
      <c r="F31" s="1"/>
      <c r="G31" s="1"/>
      <c r="H31" s="1"/>
      <c r="I31" s="1"/>
      <c r="J31" s="1"/>
    </row>
    <row r="32" spans="1:10" ht="25.5" customHeight="1" x14ac:dyDescent="0.3">
      <c r="A32" s="14" t="s">
        <v>40</v>
      </c>
      <c r="B32" s="1"/>
      <c r="C32" s="1"/>
      <c r="D32" s="1"/>
      <c r="E32" s="15">
        <f>Packaging!F19</f>
        <v>0</v>
      </c>
      <c r="F32" s="1"/>
      <c r="G32" s="1"/>
      <c r="H32" s="1"/>
      <c r="I32" s="1"/>
      <c r="J32" s="1"/>
    </row>
    <row r="33" spans="1:10" ht="25.5" customHeight="1" x14ac:dyDescent="0.3">
      <c r="A33" s="16" t="s">
        <v>41</v>
      </c>
      <c r="B33" s="1"/>
      <c r="C33" s="1"/>
      <c r="D33" s="1"/>
      <c r="E33" s="17">
        <f>SUM(E28:E32)</f>
        <v>0</v>
      </c>
      <c r="F33" s="1"/>
      <c r="G33" s="1"/>
      <c r="H33" s="1"/>
      <c r="I33" s="1"/>
      <c r="J33" s="1"/>
    </row>
    <row r="34" spans="1:10" ht="25.5" customHeight="1" x14ac:dyDescent="0.3">
      <c r="A34" s="16" t="s">
        <v>42</v>
      </c>
      <c r="B34" s="1"/>
      <c r="C34" s="1"/>
      <c r="D34" s="1"/>
      <c r="E34" s="17">
        <f>$E$7-E33</f>
        <v>1</v>
      </c>
      <c r="F34" s="1"/>
      <c r="G34" s="1"/>
      <c r="H34" s="1"/>
      <c r="I34" s="1"/>
      <c r="J34" s="1"/>
    </row>
    <row r="35" spans="1:10" ht="25.5" customHeight="1" x14ac:dyDescent="0.3">
      <c r="A35" s="16" t="s">
        <v>43</v>
      </c>
      <c r="B35" s="1"/>
      <c r="C35" s="1"/>
      <c r="D35" s="1"/>
      <c r="E35" s="18">
        <f>IFERROR(E33/$E$7,0)</f>
        <v>0</v>
      </c>
      <c r="F35" s="1"/>
      <c r="G35" s="1"/>
      <c r="H35" s="1"/>
      <c r="I35" s="1"/>
      <c r="J35" s="1"/>
    </row>
    <row r="36" spans="1:10" ht="25.5" customHeight="1" x14ac:dyDescent="0.3">
      <c r="A36" s="16" t="s">
        <v>44</v>
      </c>
      <c r="B36" s="1"/>
      <c r="C36" s="1"/>
      <c r="D36" s="1"/>
      <c r="E36" s="18">
        <f>IFERROR(E34/$E$7,0)</f>
        <v>1</v>
      </c>
      <c r="F36" s="1"/>
      <c r="G36" s="1"/>
      <c r="H36" s="1"/>
      <c r="I36" s="1"/>
      <c r="J36" s="1"/>
    </row>
    <row r="37" spans="1:10" ht="25.5" customHeight="1" x14ac:dyDescent="0.3">
      <c r="A37" s="16" t="s">
        <v>45</v>
      </c>
      <c r="B37" s="1"/>
      <c r="C37" s="1"/>
      <c r="D37" s="1"/>
      <c r="E37" s="19" t="str">
        <f>IF(E33&lt;$E$7,"PASS – cost is below 1 JOD","REVIEW – cost reaches/exceeds 1 JOD")</f>
        <v>PASS – cost is below 1 JOD</v>
      </c>
      <c r="F37" s="1"/>
      <c r="G37" s="1"/>
      <c r="H37" s="1"/>
      <c r="I37" s="1"/>
      <c r="J37" s="1"/>
    </row>
  </sheetData>
  <mergeCells count="3">
    <mergeCell ref="A1:J1"/>
    <mergeCell ref="A27:E27"/>
    <mergeCell ref="A2:J2"/>
  </mergeCells>
  <conditionalFormatting sqref="E33">
    <cfRule type="cellIs" dxfId="1" priority="1" operator="greaterThanOrEqual">
      <formula>$E$7</formula>
    </cfRule>
  </conditionalFormatting>
  <pageMargins left="0.75" right="0.75" top="1" bottom="1" header="0.5" footer="0.5"/>
  <headerFooter>
    <oddFooter>&amp;C_x000D_&amp;1#&amp;"Aptos"&amp;10&amp;K000000 Restricted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30" customWidth="1"/>
    <col min="2" max="2" width="25" customWidth="1"/>
    <col min="3" max="3" width="18" customWidth="1"/>
    <col min="4" max="4" width="15" customWidth="1"/>
    <col min="5" max="6" width="21" customWidth="1"/>
    <col min="7" max="7" width="17" customWidth="1"/>
    <col min="8" max="8" width="15" customWidth="1"/>
  </cols>
  <sheetData>
    <row r="1" spans="1:8" x14ac:dyDescent="0.3">
      <c r="A1" s="28" t="s">
        <v>46</v>
      </c>
      <c r="B1" s="25"/>
      <c r="C1" s="25"/>
      <c r="D1" s="25"/>
      <c r="E1" s="25"/>
      <c r="F1" s="25"/>
      <c r="G1" s="25"/>
      <c r="H1" s="25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2" t="s">
        <v>47</v>
      </c>
      <c r="B3" s="2" t="s">
        <v>48</v>
      </c>
      <c r="C3" s="2" t="s">
        <v>49</v>
      </c>
      <c r="D3" s="2" t="s">
        <v>50</v>
      </c>
      <c r="E3" s="2" t="s">
        <v>14</v>
      </c>
      <c r="F3" s="2" t="s">
        <v>51</v>
      </c>
      <c r="G3" s="2" t="s">
        <v>52</v>
      </c>
      <c r="H3" s="2" t="s">
        <v>53</v>
      </c>
    </row>
    <row r="4" spans="1:8" x14ac:dyDescent="0.3">
      <c r="A4" s="1" t="s">
        <v>54</v>
      </c>
      <c r="B4" s="1" t="s">
        <v>55</v>
      </c>
      <c r="C4" s="3">
        <v>0</v>
      </c>
      <c r="D4" s="3">
        <v>0</v>
      </c>
      <c r="E4" s="6">
        <v>0</v>
      </c>
      <c r="F4" s="20">
        <f t="shared" ref="F4:F18" si="0">IFERROR(E4/D4,0)</f>
        <v>0</v>
      </c>
      <c r="G4" s="20">
        <f t="shared" ref="G4:G18" si="1">C4*F4</f>
        <v>0</v>
      </c>
      <c r="H4" s="17">
        <f>SUM(G4:G5)</f>
        <v>0</v>
      </c>
    </row>
    <row r="5" spans="1:8" x14ac:dyDescent="0.3">
      <c r="A5" s="1" t="s">
        <v>54</v>
      </c>
      <c r="B5" s="1" t="s">
        <v>56</v>
      </c>
      <c r="C5" s="3">
        <v>0</v>
      </c>
      <c r="D5" s="3">
        <v>0</v>
      </c>
      <c r="E5" s="6">
        <v>0</v>
      </c>
      <c r="F5" s="20">
        <f t="shared" si="0"/>
        <v>0</v>
      </c>
      <c r="G5" s="20">
        <f t="shared" si="1"/>
        <v>0</v>
      </c>
      <c r="H5" s="1"/>
    </row>
    <row r="6" spans="1:8" x14ac:dyDescent="0.3">
      <c r="A6" s="1" t="s">
        <v>57</v>
      </c>
      <c r="B6" s="1" t="s">
        <v>58</v>
      </c>
      <c r="C6" s="3">
        <v>0</v>
      </c>
      <c r="D6" s="3">
        <v>0</v>
      </c>
      <c r="E6" s="6">
        <v>0</v>
      </c>
      <c r="F6" s="20">
        <f t="shared" si="0"/>
        <v>0</v>
      </c>
      <c r="G6" s="20">
        <f t="shared" si="1"/>
        <v>0</v>
      </c>
      <c r="H6" s="17">
        <f>SUM(G6:G8)</f>
        <v>0</v>
      </c>
    </row>
    <row r="7" spans="1:8" x14ac:dyDescent="0.3">
      <c r="A7" s="1" t="s">
        <v>57</v>
      </c>
      <c r="B7" s="1" t="s">
        <v>59</v>
      </c>
      <c r="C7" s="3">
        <v>0</v>
      </c>
      <c r="D7" s="3">
        <v>0</v>
      </c>
      <c r="E7" s="6">
        <v>0</v>
      </c>
      <c r="F7" s="20">
        <f t="shared" si="0"/>
        <v>0</v>
      </c>
      <c r="G7" s="20">
        <f t="shared" si="1"/>
        <v>0</v>
      </c>
      <c r="H7" s="1"/>
    </row>
    <row r="8" spans="1:8" x14ac:dyDescent="0.3">
      <c r="A8" s="1" t="s">
        <v>57</v>
      </c>
      <c r="B8" s="1" t="s">
        <v>56</v>
      </c>
      <c r="C8" s="3">
        <v>0</v>
      </c>
      <c r="D8" s="3">
        <v>0</v>
      </c>
      <c r="E8" s="6">
        <v>0</v>
      </c>
      <c r="F8" s="20">
        <f t="shared" si="0"/>
        <v>0</v>
      </c>
      <c r="G8" s="20">
        <f t="shared" si="1"/>
        <v>0</v>
      </c>
      <c r="H8" s="1"/>
    </row>
    <row r="9" spans="1:8" x14ac:dyDescent="0.3">
      <c r="A9" s="1" t="s">
        <v>60</v>
      </c>
      <c r="B9" s="1" t="s">
        <v>61</v>
      </c>
      <c r="C9" s="3">
        <v>0</v>
      </c>
      <c r="D9" s="3">
        <v>0</v>
      </c>
      <c r="E9" s="6">
        <v>0</v>
      </c>
      <c r="F9" s="20">
        <f t="shared" si="0"/>
        <v>0</v>
      </c>
      <c r="G9" s="20">
        <f t="shared" si="1"/>
        <v>0</v>
      </c>
      <c r="H9" s="17">
        <f>SUM(G9:G11)</f>
        <v>0</v>
      </c>
    </row>
    <row r="10" spans="1:8" x14ac:dyDescent="0.3">
      <c r="A10" s="1" t="s">
        <v>60</v>
      </c>
      <c r="B10" s="1" t="s">
        <v>62</v>
      </c>
      <c r="C10" s="3">
        <v>0</v>
      </c>
      <c r="D10" s="3">
        <v>0</v>
      </c>
      <c r="E10" s="6">
        <v>0</v>
      </c>
      <c r="F10" s="20">
        <f t="shared" si="0"/>
        <v>0</v>
      </c>
      <c r="G10" s="20">
        <f t="shared" si="1"/>
        <v>0</v>
      </c>
      <c r="H10" s="1"/>
    </row>
    <row r="11" spans="1:8" x14ac:dyDescent="0.3">
      <c r="A11" s="1" t="s">
        <v>60</v>
      </c>
      <c r="B11" s="1" t="s">
        <v>63</v>
      </c>
      <c r="C11" s="3">
        <v>0</v>
      </c>
      <c r="D11" s="3">
        <v>0</v>
      </c>
      <c r="E11" s="6">
        <v>0</v>
      </c>
      <c r="F11" s="20">
        <f t="shared" si="0"/>
        <v>0</v>
      </c>
      <c r="G11" s="20">
        <f t="shared" si="1"/>
        <v>0</v>
      </c>
      <c r="H11" s="1"/>
    </row>
    <row r="12" spans="1:8" x14ac:dyDescent="0.3">
      <c r="A12" s="1" t="s">
        <v>64</v>
      </c>
      <c r="B12" s="1" t="s">
        <v>65</v>
      </c>
      <c r="C12" s="3">
        <v>0</v>
      </c>
      <c r="D12" s="3">
        <v>0</v>
      </c>
      <c r="E12" s="6">
        <v>0</v>
      </c>
      <c r="F12" s="20">
        <f t="shared" si="0"/>
        <v>0</v>
      </c>
      <c r="G12" s="20">
        <f t="shared" si="1"/>
        <v>0</v>
      </c>
      <c r="H12" s="17">
        <f>SUM(G12:G14)</f>
        <v>0</v>
      </c>
    </row>
    <row r="13" spans="1:8" x14ac:dyDescent="0.3">
      <c r="A13" s="1" t="s">
        <v>64</v>
      </c>
      <c r="B13" s="1" t="s">
        <v>66</v>
      </c>
      <c r="C13" s="3">
        <v>0</v>
      </c>
      <c r="D13" s="3">
        <v>0</v>
      </c>
      <c r="E13" s="6">
        <v>0</v>
      </c>
      <c r="F13" s="20">
        <f t="shared" si="0"/>
        <v>0</v>
      </c>
      <c r="G13" s="20">
        <f t="shared" si="1"/>
        <v>0</v>
      </c>
      <c r="H13" s="1"/>
    </row>
    <row r="14" spans="1:8" x14ac:dyDescent="0.3">
      <c r="A14" s="1" t="s">
        <v>64</v>
      </c>
      <c r="B14" s="1" t="s">
        <v>63</v>
      </c>
      <c r="C14" s="3">
        <v>0</v>
      </c>
      <c r="D14" s="3">
        <v>0</v>
      </c>
      <c r="E14" s="6">
        <v>0</v>
      </c>
      <c r="F14" s="20">
        <f t="shared" si="0"/>
        <v>0</v>
      </c>
      <c r="G14" s="20">
        <f t="shared" si="1"/>
        <v>0</v>
      </c>
      <c r="H14" s="1"/>
    </row>
    <row r="15" spans="1:8" x14ac:dyDescent="0.3">
      <c r="A15" s="1" t="s">
        <v>67</v>
      </c>
      <c r="B15" s="1" t="s">
        <v>58</v>
      </c>
      <c r="C15" s="3">
        <v>0</v>
      </c>
      <c r="D15" s="3">
        <v>0</v>
      </c>
      <c r="E15" s="6">
        <v>0</v>
      </c>
      <c r="F15" s="20">
        <f t="shared" si="0"/>
        <v>0</v>
      </c>
      <c r="G15" s="20">
        <f t="shared" si="1"/>
        <v>0</v>
      </c>
      <c r="H15" s="17">
        <f>SUM(G15:G18)</f>
        <v>0</v>
      </c>
    </row>
    <row r="16" spans="1:8" x14ac:dyDescent="0.3">
      <c r="A16" s="1" t="s">
        <v>67</v>
      </c>
      <c r="B16" s="1" t="s">
        <v>68</v>
      </c>
      <c r="C16" s="3">
        <v>0</v>
      </c>
      <c r="D16" s="3">
        <v>0</v>
      </c>
      <c r="E16" s="6">
        <v>0</v>
      </c>
      <c r="F16" s="20">
        <f t="shared" si="0"/>
        <v>0</v>
      </c>
      <c r="G16" s="20">
        <f t="shared" si="1"/>
        <v>0</v>
      </c>
      <c r="H16" s="1"/>
    </row>
    <row r="17" spans="1:8" x14ac:dyDescent="0.3">
      <c r="A17" s="1" t="s">
        <v>67</v>
      </c>
      <c r="B17" s="1" t="s">
        <v>69</v>
      </c>
      <c r="C17" s="3">
        <v>0</v>
      </c>
      <c r="D17" s="3">
        <v>0</v>
      </c>
      <c r="E17" s="6">
        <v>0</v>
      </c>
      <c r="F17" s="20">
        <f t="shared" si="0"/>
        <v>0</v>
      </c>
      <c r="G17" s="20">
        <f t="shared" si="1"/>
        <v>0</v>
      </c>
      <c r="H17" s="1"/>
    </row>
    <row r="18" spans="1:8" x14ac:dyDescent="0.3">
      <c r="A18" s="1" t="s">
        <v>67</v>
      </c>
      <c r="B18" s="1" t="s">
        <v>70</v>
      </c>
      <c r="C18" s="3">
        <v>0</v>
      </c>
      <c r="D18" s="3">
        <v>0</v>
      </c>
      <c r="E18" s="6">
        <v>0</v>
      </c>
      <c r="F18" s="20">
        <f t="shared" si="0"/>
        <v>0</v>
      </c>
      <c r="G18" s="20">
        <f t="shared" si="1"/>
        <v>0</v>
      </c>
      <c r="H18" s="1"/>
    </row>
  </sheetData>
  <mergeCells count="1">
    <mergeCell ref="A1:H1"/>
  </mergeCells>
  <pageMargins left="0.75" right="0.75" top="1" bottom="1" header="0.5" footer="0.5"/>
  <headerFooter>
    <oddFooter>&amp;C_x000D_&amp;1#&amp;"Aptos"&amp;10&amp;K000000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30" customWidth="1"/>
    <col min="2" max="2" width="17" customWidth="1"/>
    <col min="3" max="3" width="12" customWidth="1"/>
    <col min="4" max="4" width="19" customWidth="1"/>
    <col min="5" max="5" width="18" customWidth="1"/>
    <col min="6" max="6" width="30" customWidth="1"/>
  </cols>
  <sheetData>
    <row r="1" spans="1:6" x14ac:dyDescent="0.3">
      <c r="A1" s="28" t="s">
        <v>71</v>
      </c>
      <c r="B1" s="25"/>
      <c r="C1" s="25"/>
      <c r="D1" s="25"/>
      <c r="E1" s="25"/>
      <c r="F1" s="25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3" t="s">
        <v>72</v>
      </c>
      <c r="B3" s="13" t="s">
        <v>73</v>
      </c>
      <c r="C3" s="13" t="s">
        <v>11</v>
      </c>
      <c r="D3" s="13" t="s">
        <v>74</v>
      </c>
      <c r="E3" s="13" t="s">
        <v>75</v>
      </c>
      <c r="F3" s="13" t="s">
        <v>76</v>
      </c>
    </row>
    <row r="4" spans="1:6" x14ac:dyDescent="0.3">
      <c r="A4" s="1" t="s">
        <v>77</v>
      </c>
      <c r="B4" s="3">
        <v>1</v>
      </c>
      <c r="C4" s="3" t="s">
        <v>78</v>
      </c>
      <c r="D4" s="6">
        <v>0</v>
      </c>
      <c r="E4" s="20">
        <f t="shared" ref="E4:E17" si="0">B4*D4</f>
        <v>0</v>
      </c>
      <c r="F4" s="20">
        <f>IFERROR(E4/'Dough Cost'!$B$7,0)</f>
        <v>0</v>
      </c>
    </row>
    <row r="5" spans="1:6" x14ac:dyDescent="0.3">
      <c r="A5" s="1" t="s">
        <v>79</v>
      </c>
      <c r="B5" s="3">
        <v>1</v>
      </c>
      <c r="C5" s="3" t="s">
        <v>78</v>
      </c>
      <c r="D5" s="6">
        <v>0</v>
      </c>
      <c r="E5" s="20">
        <f t="shared" si="0"/>
        <v>0</v>
      </c>
      <c r="F5" s="20">
        <f>IFERROR(E5/'Dough Cost'!$B$7,0)</f>
        <v>0</v>
      </c>
    </row>
    <row r="6" spans="1:6" x14ac:dyDescent="0.3">
      <c r="A6" s="1" t="s">
        <v>80</v>
      </c>
      <c r="B6" s="3">
        <v>1</v>
      </c>
      <c r="C6" s="3" t="s">
        <v>78</v>
      </c>
      <c r="D6" s="6">
        <v>0</v>
      </c>
      <c r="E6" s="20">
        <f t="shared" si="0"/>
        <v>0</v>
      </c>
      <c r="F6" s="20">
        <f>IFERROR(E6/'Dough Cost'!$B$7,0)</f>
        <v>0</v>
      </c>
    </row>
    <row r="7" spans="1:6" x14ac:dyDescent="0.3">
      <c r="A7" s="1" t="s">
        <v>81</v>
      </c>
      <c r="B7" s="3">
        <v>0</v>
      </c>
      <c r="C7" s="3" t="s">
        <v>82</v>
      </c>
      <c r="D7" s="6">
        <v>0</v>
      </c>
      <c r="E7" s="20">
        <f t="shared" si="0"/>
        <v>0</v>
      </c>
      <c r="F7" s="20">
        <f>IFERROR(E7/'Dough Cost'!$B$7,0)</f>
        <v>0</v>
      </c>
    </row>
    <row r="8" spans="1:6" x14ac:dyDescent="0.3">
      <c r="A8" s="1" t="s">
        <v>83</v>
      </c>
      <c r="B8" s="3">
        <v>0</v>
      </c>
      <c r="C8" s="3" t="s">
        <v>82</v>
      </c>
      <c r="D8" s="6">
        <v>0</v>
      </c>
      <c r="E8" s="20">
        <f t="shared" si="0"/>
        <v>0</v>
      </c>
      <c r="F8" s="20">
        <f>IFERROR(E8/'Dough Cost'!$B$7,0)</f>
        <v>0</v>
      </c>
    </row>
    <row r="9" spans="1:6" x14ac:dyDescent="0.3">
      <c r="A9" s="1" t="s">
        <v>84</v>
      </c>
      <c r="B9" s="3">
        <v>0</v>
      </c>
      <c r="C9" s="3" t="s">
        <v>82</v>
      </c>
      <c r="D9" s="6">
        <v>0</v>
      </c>
      <c r="E9" s="20">
        <f t="shared" si="0"/>
        <v>0</v>
      </c>
      <c r="F9" s="20">
        <f>IFERROR(E9/'Dough Cost'!$B$7,0)</f>
        <v>0</v>
      </c>
    </row>
    <row r="10" spans="1:6" x14ac:dyDescent="0.3">
      <c r="A10" s="1" t="s">
        <v>85</v>
      </c>
      <c r="B10" s="3">
        <v>0</v>
      </c>
      <c r="C10" s="3" t="s">
        <v>82</v>
      </c>
      <c r="D10" s="6">
        <v>0</v>
      </c>
      <c r="E10" s="20">
        <f t="shared" si="0"/>
        <v>0</v>
      </c>
      <c r="F10" s="20">
        <f>IFERROR(E10/'Dough Cost'!$B$7,0)</f>
        <v>0</v>
      </c>
    </row>
    <row r="11" spans="1:6" x14ac:dyDescent="0.3">
      <c r="A11" s="1" t="s">
        <v>86</v>
      </c>
      <c r="B11" s="3">
        <v>1</v>
      </c>
      <c r="C11" s="3" t="s">
        <v>78</v>
      </c>
      <c r="D11" s="6">
        <v>0</v>
      </c>
      <c r="E11" s="20">
        <f t="shared" si="0"/>
        <v>0</v>
      </c>
      <c r="F11" s="20">
        <f>IFERROR(E11/'Dough Cost'!$B$7,0)</f>
        <v>0</v>
      </c>
    </row>
    <row r="12" spans="1:6" x14ac:dyDescent="0.3">
      <c r="A12" s="1" t="s">
        <v>87</v>
      </c>
      <c r="B12" s="3">
        <v>1</v>
      </c>
      <c r="C12" s="3" t="s">
        <v>78</v>
      </c>
      <c r="D12" s="6">
        <v>0</v>
      </c>
      <c r="E12" s="20">
        <f t="shared" si="0"/>
        <v>0</v>
      </c>
      <c r="F12" s="20">
        <f>IFERROR(E12/'Dough Cost'!$B$7,0)</f>
        <v>0</v>
      </c>
    </row>
    <row r="13" spans="1:6" x14ac:dyDescent="0.3">
      <c r="A13" s="1" t="s">
        <v>88</v>
      </c>
      <c r="B13" s="3">
        <v>1</v>
      </c>
      <c r="C13" s="3" t="s">
        <v>78</v>
      </c>
      <c r="D13" s="6">
        <v>0</v>
      </c>
      <c r="E13" s="20">
        <f t="shared" si="0"/>
        <v>0</v>
      </c>
      <c r="F13" s="20">
        <f>IFERROR(E13/'Dough Cost'!$B$7,0)</f>
        <v>0</v>
      </c>
    </row>
    <row r="14" spans="1:6" x14ac:dyDescent="0.3">
      <c r="A14" s="1" t="s">
        <v>89</v>
      </c>
      <c r="B14" s="3">
        <v>1</v>
      </c>
      <c r="C14" s="3" t="s">
        <v>78</v>
      </c>
      <c r="D14" s="6">
        <v>0</v>
      </c>
      <c r="E14" s="20">
        <f t="shared" si="0"/>
        <v>0</v>
      </c>
      <c r="F14" s="20">
        <f>IFERROR(E14/'Dough Cost'!$B$7,0)</f>
        <v>0</v>
      </c>
    </row>
    <row r="15" spans="1:6" x14ac:dyDescent="0.3">
      <c r="A15" s="1" t="s">
        <v>90</v>
      </c>
      <c r="B15" s="3">
        <v>1</v>
      </c>
      <c r="C15" s="3" t="s">
        <v>78</v>
      </c>
      <c r="D15" s="6">
        <v>0</v>
      </c>
      <c r="E15" s="20">
        <f t="shared" si="0"/>
        <v>0</v>
      </c>
      <c r="F15" s="20">
        <f>IFERROR(E15/'Dough Cost'!$B$7,0)</f>
        <v>0</v>
      </c>
    </row>
    <row r="16" spans="1:6" x14ac:dyDescent="0.3">
      <c r="A16" s="1" t="s">
        <v>91</v>
      </c>
      <c r="B16" s="3">
        <v>1</v>
      </c>
      <c r="C16" s="3" t="s">
        <v>78</v>
      </c>
      <c r="D16" s="6">
        <v>0</v>
      </c>
      <c r="E16" s="20">
        <f t="shared" si="0"/>
        <v>0</v>
      </c>
      <c r="F16" s="20">
        <f>IFERROR(E16/'Dough Cost'!$B$7,0)</f>
        <v>0</v>
      </c>
    </row>
    <row r="17" spans="1:6" x14ac:dyDescent="0.3">
      <c r="A17" s="1" t="s">
        <v>92</v>
      </c>
      <c r="B17" s="3">
        <v>1</v>
      </c>
      <c r="C17" s="3" t="s">
        <v>78</v>
      </c>
      <c r="D17" s="6">
        <v>0</v>
      </c>
      <c r="E17" s="20">
        <f t="shared" si="0"/>
        <v>0</v>
      </c>
      <c r="F17" s="20">
        <f>IFERROR(E17/'Dough Cost'!$B$7,0)</f>
        <v>0</v>
      </c>
    </row>
    <row r="18" spans="1:6" x14ac:dyDescent="0.3">
      <c r="A18" s="10" t="s">
        <v>93</v>
      </c>
      <c r="B18" s="11"/>
      <c r="C18" s="11"/>
      <c r="D18" s="11"/>
      <c r="E18" s="12">
        <f>SUM(E4:E17)</f>
        <v>0</v>
      </c>
      <c r="F18" s="12">
        <f>SUM(F4:F17)</f>
        <v>0</v>
      </c>
    </row>
  </sheetData>
  <mergeCells count="1">
    <mergeCell ref="A1:F1"/>
  </mergeCells>
  <pageMargins left="0.75" right="0.75" top="1" bottom="1" header="0.5" footer="0.5"/>
  <headerFooter>
    <oddFooter>&amp;C_x000D_&amp;1#&amp;"Aptos"&amp;10&amp;K000000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30" customWidth="1"/>
    <col min="2" max="2" width="17" customWidth="1"/>
    <col min="3" max="4" width="21" customWidth="1"/>
    <col min="5" max="5" width="22" customWidth="1"/>
    <col min="6" max="6" width="16" customWidth="1"/>
    <col min="7" max="7" width="12" customWidth="1"/>
  </cols>
  <sheetData>
    <row r="1" spans="1:7" x14ac:dyDescent="0.3">
      <c r="A1" s="28" t="s">
        <v>94</v>
      </c>
      <c r="B1" s="25"/>
      <c r="C1" s="25"/>
      <c r="D1" s="25"/>
      <c r="E1" s="25"/>
      <c r="F1" s="25"/>
      <c r="G1" s="25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21" t="s">
        <v>95</v>
      </c>
      <c r="B3" s="21" t="s">
        <v>96</v>
      </c>
      <c r="C3" s="21" t="s">
        <v>14</v>
      </c>
      <c r="D3" s="21" t="s">
        <v>15</v>
      </c>
      <c r="E3" s="21" t="s">
        <v>97</v>
      </c>
      <c r="F3" s="21" t="s">
        <v>98</v>
      </c>
      <c r="G3" s="21" t="s">
        <v>18</v>
      </c>
    </row>
    <row r="4" spans="1:7" x14ac:dyDescent="0.3">
      <c r="A4" s="1" t="s">
        <v>99</v>
      </c>
      <c r="B4" s="3">
        <v>0</v>
      </c>
      <c r="C4" s="6">
        <v>0</v>
      </c>
      <c r="D4" s="20">
        <f t="shared" ref="D4:D17" si="0">IFERROR(C4/B4,0)</f>
        <v>0</v>
      </c>
      <c r="E4" s="3">
        <v>1</v>
      </c>
      <c r="F4" s="20">
        <f t="shared" ref="F4:F17" si="1">D4*E4</f>
        <v>0</v>
      </c>
      <c r="G4" s="3"/>
    </row>
    <row r="5" spans="1:7" x14ac:dyDescent="0.3">
      <c r="A5" s="1" t="s">
        <v>100</v>
      </c>
      <c r="B5" s="3">
        <v>0</v>
      </c>
      <c r="C5" s="6">
        <v>0</v>
      </c>
      <c r="D5" s="20">
        <f t="shared" si="0"/>
        <v>0</v>
      </c>
      <c r="E5" s="3">
        <v>1</v>
      </c>
      <c r="F5" s="20">
        <f t="shared" si="1"/>
        <v>0</v>
      </c>
      <c r="G5" s="3"/>
    </row>
    <row r="6" spans="1:7" x14ac:dyDescent="0.3">
      <c r="A6" s="1" t="s">
        <v>101</v>
      </c>
      <c r="B6" s="3">
        <v>0</v>
      </c>
      <c r="C6" s="6">
        <v>0</v>
      </c>
      <c r="D6" s="20">
        <f t="shared" si="0"/>
        <v>0</v>
      </c>
      <c r="E6" s="3">
        <v>1</v>
      </c>
      <c r="F6" s="20">
        <f t="shared" si="1"/>
        <v>0</v>
      </c>
      <c r="G6" s="3"/>
    </row>
    <row r="7" spans="1:7" x14ac:dyDescent="0.3">
      <c r="A7" s="1" t="s">
        <v>102</v>
      </c>
      <c r="B7" s="3">
        <v>0</v>
      </c>
      <c r="C7" s="6">
        <v>0</v>
      </c>
      <c r="D7" s="20">
        <f t="shared" si="0"/>
        <v>0</v>
      </c>
      <c r="E7" s="3">
        <v>1</v>
      </c>
      <c r="F7" s="20">
        <f t="shared" si="1"/>
        <v>0</v>
      </c>
      <c r="G7" s="3"/>
    </row>
    <row r="8" spans="1:7" x14ac:dyDescent="0.3">
      <c r="A8" s="1" t="s">
        <v>103</v>
      </c>
      <c r="B8" s="3">
        <v>0</v>
      </c>
      <c r="C8" s="6">
        <v>0</v>
      </c>
      <c r="D8" s="20">
        <f t="shared" si="0"/>
        <v>0</v>
      </c>
      <c r="E8" s="3">
        <v>0</v>
      </c>
      <c r="F8" s="20">
        <f t="shared" si="1"/>
        <v>0</v>
      </c>
      <c r="G8" s="3"/>
    </row>
    <row r="9" spans="1:7" x14ac:dyDescent="0.3">
      <c r="A9" s="1" t="s">
        <v>104</v>
      </c>
      <c r="B9" s="3">
        <v>0</v>
      </c>
      <c r="C9" s="6">
        <v>0</v>
      </c>
      <c r="D9" s="20">
        <f t="shared" si="0"/>
        <v>0</v>
      </c>
      <c r="E9" s="3">
        <v>0</v>
      </c>
      <c r="F9" s="20">
        <f t="shared" si="1"/>
        <v>0</v>
      </c>
      <c r="G9" s="3"/>
    </row>
    <row r="10" spans="1:7" x14ac:dyDescent="0.3">
      <c r="A10" s="1" t="s">
        <v>105</v>
      </c>
      <c r="B10" s="3">
        <v>0</v>
      </c>
      <c r="C10" s="6">
        <v>0</v>
      </c>
      <c r="D10" s="20">
        <f t="shared" si="0"/>
        <v>0</v>
      </c>
      <c r="E10" s="3">
        <v>0</v>
      </c>
      <c r="F10" s="20">
        <f t="shared" si="1"/>
        <v>0</v>
      </c>
      <c r="G10" s="3"/>
    </row>
    <row r="11" spans="1:7" x14ac:dyDescent="0.3">
      <c r="A11" s="1" t="s">
        <v>106</v>
      </c>
      <c r="B11" s="3">
        <v>0</v>
      </c>
      <c r="C11" s="6">
        <v>0</v>
      </c>
      <c r="D11" s="20">
        <f t="shared" si="0"/>
        <v>0</v>
      </c>
      <c r="E11" s="3">
        <v>0</v>
      </c>
      <c r="F11" s="20">
        <f t="shared" si="1"/>
        <v>0</v>
      </c>
      <c r="G11" s="3"/>
    </row>
    <row r="12" spans="1:7" x14ac:dyDescent="0.3">
      <c r="A12" s="1" t="s">
        <v>107</v>
      </c>
      <c r="B12" s="3">
        <v>0</v>
      </c>
      <c r="C12" s="6">
        <v>0</v>
      </c>
      <c r="D12" s="20">
        <f t="shared" si="0"/>
        <v>0</v>
      </c>
      <c r="E12" s="3">
        <v>0</v>
      </c>
      <c r="F12" s="20">
        <f t="shared" si="1"/>
        <v>0</v>
      </c>
      <c r="G12" s="3"/>
    </row>
    <row r="13" spans="1:7" x14ac:dyDescent="0.3">
      <c r="A13" s="1" t="s">
        <v>108</v>
      </c>
      <c r="B13" s="3">
        <v>0</v>
      </c>
      <c r="C13" s="6">
        <v>0</v>
      </c>
      <c r="D13" s="20">
        <f t="shared" si="0"/>
        <v>0</v>
      </c>
      <c r="E13" s="3">
        <v>0</v>
      </c>
      <c r="F13" s="20">
        <f t="shared" si="1"/>
        <v>0</v>
      </c>
      <c r="G13" s="3"/>
    </row>
    <row r="14" spans="1:7" x14ac:dyDescent="0.3">
      <c r="A14" s="1" t="s">
        <v>109</v>
      </c>
      <c r="B14" s="3">
        <v>0</v>
      </c>
      <c r="C14" s="6">
        <v>0</v>
      </c>
      <c r="D14" s="20">
        <f t="shared" si="0"/>
        <v>0</v>
      </c>
      <c r="E14" s="3">
        <v>0</v>
      </c>
      <c r="F14" s="20">
        <f t="shared" si="1"/>
        <v>0</v>
      </c>
      <c r="G14" s="3"/>
    </row>
    <row r="15" spans="1:7" x14ac:dyDescent="0.3">
      <c r="A15" s="1" t="s">
        <v>110</v>
      </c>
      <c r="B15" s="3">
        <v>0</v>
      </c>
      <c r="C15" s="6">
        <v>0</v>
      </c>
      <c r="D15" s="20">
        <f t="shared" si="0"/>
        <v>0</v>
      </c>
      <c r="E15" s="3">
        <v>0</v>
      </c>
      <c r="F15" s="20">
        <f t="shared" si="1"/>
        <v>0</v>
      </c>
      <c r="G15" s="3"/>
    </row>
    <row r="16" spans="1:7" x14ac:dyDescent="0.3">
      <c r="A16" s="1" t="s">
        <v>111</v>
      </c>
      <c r="B16" s="3">
        <v>0</v>
      </c>
      <c r="C16" s="6">
        <v>0</v>
      </c>
      <c r="D16" s="20">
        <f t="shared" si="0"/>
        <v>0</v>
      </c>
      <c r="E16" s="3">
        <v>0</v>
      </c>
      <c r="F16" s="20">
        <f t="shared" si="1"/>
        <v>0</v>
      </c>
      <c r="G16" s="3"/>
    </row>
    <row r="17" spans="1:7" x14ac:dyDescent="0.3">
      <c r="A17" s="1" t="s">
        <v>112</v>
      </c>
      <c r="B17" s="3">
        <v>0</v>
      </c>
      <c r="C17" s="6">
        <v>0</v>
      </c>
      <c r="D17" s="20">
        <f t="shared" si="0"/>
        <v>0</v>
      </c>
      <c r="E17" s="3">
        <v>0</v>
      </c>
      <c r="F17" s="20">
        <f t="shared" si="1"/>
        <v>0</v>
      </c>
      <c r="G17" s="3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 t="s">
        <v>113</v>
      </c>
      <c r="B19" s="1"/>
      <c r="C19" s="1"/>
      <c r="D19" s="1"/>
      <c r="E19" s="1"/>
      <c r="F19" s="20">
        <f>SUM(F4:F7)</f>
        <v>0</v>
      </c>
      <c r="G19" s="1"/>
    </row>
  </sheetData>
  <mergeCells count="1">
    <mergeCell ref="A1:G1"/>
  </mergeCells>
  <pageMargins left="0.75" right="0.75" top="1" bottom="1" header="0.5" footer="0.5"/>
  <headerFooter>
    <oddFooter>&amp;C_x000D_&amp;1#&amp;"Aptos"&amp;10&amp;K000000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showGridLines="0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30" customWidth="1"/>
    <col min="2" max="3" width="21" customWidth="1"/>
    <col min="4" max="4" width="27" customWidth="1"/>
    <col min="5" max="5" width="20" customWidth="1"/>
    <col min="6" max="6" width="16" customWidth="1"/>
    <col min="7" max="7" width="30" customWidth="1"/>
    <col min="8" max="8" width="18" customWidth="1"/>
    <col min="9" max="9" width="19" customWidth="1"/>
  </cols>
  <sheetData>
    <row r="1" spans="1:9" x14ac:dyDescent="0.3">
      <c r="A1" s="24" t="s">
        <v>114</v>
      </c>
      <c r="B1" s="25"/>
      <c r="C1" s="25"/>
      <c r="D1" s="25"/>
      <c r="E1" s="25"/>
      <c r="F1" s="25"/>
      <c r="G1" s="25"/>
      <c r="H1" s="25"/>
      <c r="I1" s="25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22" t="s">
        <v>47</v>
      </c>
      <c r="B3" s="22" t="s">
        <v>115</v>
      </c>
      <c r="C3" s="22" t="s">
        <v>116</v>
      </c>
      <c r="D3" s="22" t="s">
        <v>117</v>
      </c>
      <c r="E3" s="22" t="s">
        <v>118</v>
      </c>
      <c r="F3" s="22" t="s">
        <v>119</v>
      </c>
      <c r="G3" s="22" t="s">
        <v>120</v>
      </c>
      <c r="H3" s="22" t="s">
        <v>121</v>
      </c>
      <c r="I3" s="22" t="s">
        <v>122</v>
      </c>
    </row>
    <row r="4" spans="1:9" x14ac:dyDescent="0.3">
      <c r="A4" s="1" t="s">
        <v>54</v>
      </c>
      <c r="B4" s="20">
        <f>'Dough Cost'!$E$28</f>
        <v>0</v>
      </c>
      <c r="C4" s="20">
        <f>'Flavor Costs'!H4</f>
        <v>0</v>
      </c>
      <c r="D4" s="20">
        <f>'Production Costs'!$F$18</f>
        <v>0</v>
      </c>
      <c r="E4" s="20">
        <f>Packaging!$F$19</f>
        <v>0</v>
      </c>
      <c r="F4" s="20">
        <f>SUM(B4:E4)</f>
        <v>0</v>
      </c>
      <c r="G4" s="6">
        <v>1</v>
      </c>
      <c r="H4" s="20">
        <f>G4-F4</f>
        <v>1</v>
      </c>
      <c r="I4" s="23">
        <f>IFERROR(F4/G4,0)</f>
        <v>0</v>
      </c>
    </row>
    <row r="5" spans="1:9" x14ac:dyDescent="0.3">
      <c r="A5" s="1" t="s">
        <v>57</v>
      </c>
      <c r="B5" s="20">
        <f>'Dough Cost'!$E$28</f>
        <v>0</v>
      </c>
      <c r="C5" s="20">
        <f>'Flavor Costs'!H6</f>
        <v>0</v>
      </c>
      <c r="D5" s="20">
        <f>'Production Costs'!$F$18</f>
        <v>0</v>
      </c>
      <c r="E5" s="20">
        <f>Packaging!$F$19</f>
        <v>0</v>
      </c>
      <c r="F5" s="20">
        <f>SUM(B5:E5)</f>
        <v>0</v>
      </c>
      <c r="G5" s="6">
        <v>1</v>
      </c>
      <c r="H5" s="20">
        <f>G5-F5</f>
        <v>1</v>
      </c>
      <c r="I5" s="23">
        <f>IFERROR(F5/G5,0)</f>
        <v>0</v>
      </c>
    </row>
    <row r="6" spans="1:9" x14ac:dyDescent="0.3">
      <c r="A6" s="1" t="s">
        <v>60</v>
      </c>
      <c r="B6" s="20">
        <f>'Dough Cost'!$E$28</f>
        <v>0</v>
      </c>
      <c r="C6" s="20">
        <f>'Flavor Costs'!H9</f>
        <v>0</v>
      </c>
      <c r="D6" s="20">
        <f>'Production Costs'!$F$18</f>
        <v>0</v>
      </c>
      <c r="E6" s="20">
        <f>Packaging!$F$19</f>
        <v>0</v>
      </c>
      <c r="F6" s="20">
        <f>SUM(B6:E6)</f>
        <v>0</v>
      </c>
      <c r="G6" s="6">
        <v>1.25</v>
      </c>
      <c r="H6" s="20">
        <f>G6-F6</f>
        <v>1.25</v>
      </c>
      <c r="I6" s="23">
        <f>IFERROR(F6/G6,0)</f>
        <v>0</v>
      </c>
    </row>
    <row r="7" spans="1:9" x14ac:dyDescent="0.3">
      <c r="A7" s="1" t="s">
        <v>64</v>
      </c>
      <c r="B7" s="20">
        <f>'Dough Cost'!$E$28</f>
        <v>0</v>
      </c>
      <c r="C7" s="20">
        <f>'Flavor Costs'!H12</f>
        <v>0</v>
      </c>
      <c r="D7" s="20">
        <f>'Production Costs'!$F$18</f>
        <v>0</v>
      </c>
      <c r="E7" s="20">
        <f>Packaging!$F$19</f>
        <v>0</v>
      </c>
      <c r="F7" s="20">
        <f>SUM(B7:E7)</f>
        <v>0</v>
      </c>
      <c r="G7" s="6">
        <v>1.25</v>
      </c>
      <c r="H7" s="20">
        <f>G7-F7</f>
        <v>1.25</v>
      </c>
      <c r="I7" s="23">
        <f>IFERROR(F7/G7,0)</f>
        <v>0</v>
      </c>
    </row>
    <row r="8" spans="1:9" x14ac:dyDescent="0.3">
      <c r="A8" s="1" t="s">
        <v>67</v>
      </c>
      <c r="B8" s="20">
        <f>'Dough Cost'!$E$28</f>
        <v>0</v>
      </c>
      <c r="C8" s="20">
        <f>'Flavor Costs'!H15</f>
        <v>0</v>
      </c>
      <c r="D8" s="20">
        <f>'Production Costs'!$F$18</f>
        <v>0</v>
      </c>
      <c r="E8" s="20">
        <f>Packaging!$F$19</f>
        <v>0</v>
      </c>
      <c r="F8" s="20">
        <f>SUM(B8:E8)</f>
        <v>0</v>
      </c>
      <c r="G8" s="6">
        <v>1.25</v>
      </c>
      <c r="H8" s="20">
        <f>G8-F8</f>
        <v>1.25</v>
      </c>
      <c r="I8" s="23">
        <f>IFERROR(F8/G8,0)</f>
        <v>0</v>
      </c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29" t="s">
        <v>123</v>
      </c>
      <c r="B11" s="25"/>
      <c r="C11" s="25"/>
      <c r="D11" s="25"/>
      <c r="E11" s="25"/>
      <c r="F11" s="25"/>
      <c r="G11" s="25"/>
      <c r="H11" s="25"/>
      <c r="I11" s="25"/>
    </row>
    <row r="12" spans="1:9" x14ac:dyDescent="0.3">
      <c r="A12" s="13" t="s">
        <v>124</v>
      </c>
      <c r="B12" s="13" t="s">
        <v>125</v>
      </c>
      <c r="C12" s="13" t="s">
        <v>126</v>
      </c>
      <c r="D12" s="13" t="s">
        <v>127</v>
      </c>
      <c r="E12" s="13" t="s">
        <v>128</v>
      </c>
      <c r="F12" s="13" t="s">
        <v>129</v>
      </c>
      <c r="G12" s="13" t="s">
        <v>130</v>
      </c>
      <c r="H12" s="13" t="s">
        <v>131</v>
      </c>
      <c r="I12" s="13" t="s">
        <v>132</v>
      </c>
    </row>
    <row r="13" spans="1:9" x14ac:dyDescent="0.3">
      <c r="A13" s="1">
        <v>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20">
        <f>B13*$F$4+C13*$F$5+D13*$F$6+E13*$F$7+F13*$F$8</f>
        <v>0</v>
      </c>
      <c r="H13" s="20">
        <f>Packaging!F8</f>
        <v>0</v>
      </c>
      <c r="I13" s="20">
        <f>G13+H13</f>
        <v>0</v>
      </c>
    </row>
    <row r="14" spans="1:9" x14ac:dyDescent="0.3">
      <c r="A14" s="1">
        <v>10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20">
        <f>B14*$F$4+C14*$F$5+D14*$F$6+E14*$F$7+F14*$F$8</f>
        <v>0</v>
      </c>
      <c r="H14" s="20">
        <f>Packaging!F9</f>
        <v>0</v>
      </c>
      <c r="I14" s="20">
        <f>G14+H14</f>
        <v>0</v>
      </c>
    </row>
    <row r="15" spans="1:9" x14ac:dyDescent="0.3">
      <c r="A15" s="1">
        <v>15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20">
        <f>B15*$F$4+C15*$F$5+D15*$F$6+E15*$F$7+F15*$F$8</f>
        <v>0</v>
      </c>
      <c r="H15" s="20">
        <f>Packaging!F10</f>
        <v>0</v>
      </c>
      <c r="I15" s="20">
        <f>G15+H15</f>
        <v>0</v>
      </c>
    </row>
    <row r="16" spans="1:9" x14ac:dyDescent="0.3">
      <c r="A16" s="1">
        <v>20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20">
        <f>B16*$F$4+C16*$F$5+D16*$F$6+E16*$F$7+F16*$F$8</f>
        <v>0</v>
      </c>
      <c r="H16" s="20">
        <f>Packaging!F11</f>
        <v>0</v>
      </c>
      <c r="I16" s="20">
        <f>G16+H16</f>
        <v>0</v>
      </c>
    </row>
  </sheetData>
  <mergeCells count="2">
    <mergeCell ref="A1:I1"/>
    <mergeCell ref="A11:I11"/>
  </mergeCells>
  <conditionalFormatting sqref="F4:F8">
    <cfRule type="cellIs" dxfId="0" priority="1" operator="greaterThan">
      <formula>G4</formula>
    </cfRule>
  </conditionalFormatting>
  <pageMargins left="0.75" right="0.75" top="1" bottom="1" header="0.5" footer="0.5"/>
  <headerFooter>
    <oddFooter>&amp;C_x000D_&amp;1#&amp;"Aptos"&amp;10&amp;K000000 Restricted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Dough Cost</vt:lpstr>
      <vt:lpstr>Flavor Costs</vt:lpstr>
      <vt:lpstr>Production Costs</vt:lpstr>
      <vt:lpstr>Packaging</vt:lpstr>
      <vt:lpstr>Pricing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Ola Badawi</dc:creator>
  <cp:keywords/>
  <dc:description/>
  <cp:lastModifiedBy>Ola Badawi</cp:lastModifiedBy>
  <cp:revision/>
  <dcterms:created xsi:type="dcterms:W3CDTF">2026-10-29T10:59:16Z</dcterms:created>
  <dcterms:modified xsi:type="dcterms:W3CDTF">2026-10-29T12:52:33Z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9f7dbc-2806-47c8-8b7a-079b974d3249_Enabled">
    <vt:lpwstr>true</vt:lpwstr>
  </property>
  <property fmtid="{D5CDD505-2E9C-101B-9397-08002B2CF9AE}" pid="3" name="MSIP_Label_5a9f7dbc-2806-47c8-8b7a-079b974d3249_SetDate">
    <vt:lpwstr>2026-10-29T11:06:16Z</vt:lpwstr>
  </property>
  <property fmtid="{D5CDD505-2E9C-101B-9397-08002B2CF9AE}" pid="4" name="MSIP_Label_5a9f7dbc-2806-47c8-8b7a-079b974d3249_Method">
    <vt:lpwstr>Standard</vt:lpwstr>
  </property>
  <property fmtid="{D5CDD505-2E9C-101B-9397-08002B2CF9AE}" pid="5" name="MSIP_Label_5a9f7dbc-2806-47c8-8b7a-079b974d3249_Name">
    <vt:lpwstr>Restricted</vt:lpwstr>
  </property>
  <property fmtid="{D5CDD505-2E9C-101B-9397-08002B2CF9AE}" pid="6" name="MSIP_Label_5a9f7dbc-2806-47c8-8b7a-079b974d3249_SiteId">
    <vt:lpwstr>fb4eb8f6-03cd-4fc7-a165-2f10f0955f17</vt:lpwstr>
  </property>
  <property fmtid="{D5CDD505-2E9C-101B-9397-08002B2CF9AE}" pid="7" name="MSIP_Label_5a9f7dbc-2806-47c8-8b7a-079b974d3249_ActionId">
    <vt:lpwstr>ca0b4892-1613-488e-9084-f9e409d23fcc</vt:lpwstr>
  </property>
  <property fmtid="{D5CDD505-2E9C-101B-9397-08002B2CF9AE}" pid="8" name="MSIP_Label_5a9f7dbc-2806-47c8-8b7a-079b974d3249_ContentBits">
    <vt:lpwstr>2</vt:lpwstr>
  </property>
  <property fmtid="{D5CDD505-2E9C-101B-9397-08002B2CF9AE}" pid="9" name="MSIP_Label_5a9f7dbc-2806-47c8-8b7a-079b974d3249_Tag">
    <vt:lpwstr>10, 1, 2, 1</vt:lpwstr>
  </property>
</Properties>
</file>